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/>
  </bookViews>
  <sheets>
    <sheet name="README" sheetId="1" r:id="rId1"/>
    <sheet name="Inputs" sheetId="2" r:id="rId2"/>
    <sheet name="DDM" sheetId="3" r:id="rId3"/>
    <sheet name="ResidualIncome" sheetId="4" r:id="rId4"/>
    <sheet name="Comps" sheetId="5" r:id="rId5"/>
    <sheet name="Sensitivity" sheetId="6" r:id="rId6"/>
    <sheet name="Summar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<sst xmlns="http://schemas.openxmlformats.org/spreadsheetml/2006/main" count="259" uniqueCount="183">
  <si>
    <t>Valuation workbook: Hindustan Unilever, Sun Pharma, ICICI Bank</t>
  </si>
  <si>
    <t/>
  </si>
  <si>
    <t>Colour code</t>
  </si>
  <si>
    <t>Blue text = hardcoded input (each cites its source in the notes column)</t>
  </si>
  <si>
    <t>Black text = formula</t>
  </si>
  <si>
    <t>Green text = link pulled from another sheet</t>
  </si>
  <si>
    <t>Yellow fill = key assumption the group should review</t>
  </si>
  <si>
    <t>Sheets</t>
  </si>
  <si>
    <t>Inputs: market rates, company data and model assumptions. The only sheet you need to edit.</t>
  </si>
  <si>
    <t>DDM: two-stage dividend discount model for HUL, which pays out most of its earnings (BKM Ch 18).</t>
  </si>
  <si>
    <t>ResidualIncome: two-stage residual-income model for Sun Pharma (low payout) and ICICI Bank (a bank); terminal value = book x justified P/B.</t>
  </si>
  <si>
    <t>Comps: peer multiples. Banks use P/B scaled by ROE because justified P/B rises with ROE.</t>
  </si>
  <si>
    <t>Sensitivity: intrinsic value across cost of equity (rows) and terminal growth (columns).</t>
  </si>
  <si>
    <t>Summary: one row per stock. The Python pipeline reads this sheet; keep its layout.</t>
  </si>
  <si>
    <t>Why different models</t>
  </si>
  <si>
    <t>A DDM values only the dividends paid. For a company that reinvests two-thirds of its earnings (Sun Pharma), it misses most of the value; residual income values the book equity the company keeps building instead. Both models agree when payout is high.</t>
  </si>
  <si>
    <t>How to update</t>
  </si>
  <si>
    <t>1. Change blue/yellow cells on Inputs.  2. Save in Excel (this stores the computed values).</t>
  </si>
  <si>
    <t>3. Run `python -m pipeline.run_all` to refresh valuation.json.</t>
  </si>
  <si>
    <t>Method notes and caveats</t>
  </si>
  <si>
    <t>Cost of equity r = rf + beta x ERP. rf = 91-day T-bill (RBI); ERP = Damodaran India total ERP; beta = daily-return beta vs Nifty 50, 2016-2026 (pipeline).</t>
  </si>
  <si>
    <t>Terminal growth is kept at or below rf (Damodaran's stable-growth rule: no firm outgrows the economy forever).</t>
  </si>
  <si>
    <t>HUL's FY26 EPS (Rs 64.0) includes a ~Rs 3,900 Cr one-off gain in Q3 FY26. EPS here is price / Screener P/E, which excludes it (~Rs 47).</t>
  </si>
  <si>
    <t>Blended value = simple average of the model value and the comps value (a judgement call).</t>
  </si>
  <si>
    <t>Verdict: blended upside beyond +/- the band on Inputs = Undervalued / Overvalued.</t>
  </si>
  <si>
    <t>These models are very sensitive to r and g; read the Sensitivity sheet before quoting a single number.</t>
  </si>
  <si>
    <t>Valuation inputs</t>
  </si>
  <si>
    <t>Edit blue cells and yellow assumptions only. Everything else is a formula.</t>
  </si>
  <si>
    <t>Market</t>
  </si>
  <si>
    <t>Risk-free rate (91-day T-bill)</t>
  </si>
  <si>
    <t>RBI, 91-day T-bill cut-off yield (auction of 30 Sep 2026); RBI homepage, as of 2026-10-01</t>
  </si>
  <si>
    <t>Equity risk premium (India, total)</t>
  </si>
  <si>
    <t>Damodaran, Country Default Spreads and Risk Premiums (India, Baa3), updated 2026-01-05</t>
  </si>
  <si>
    <t>Verdict band (+/- upside)</t>
  </si>
  <si>
    <t>Assumption: blended upside beyond this = Under/Overvalued</t>
  </si>
  <si>
    <t>Price date</t>
  </si>
  <si>
    <t>2026-10-13</t>
  </si>
  <si>
    <t>NSE close via Yahoo Finance (pipeline data/latest)</t>
  </si>
  <si>
    <t>Company inputs</t>
  </si>
  <si>
    <t>Hindustan Unilever</t>
  </si>
  <si>
    <t>Sun Pharma</t>
  </si>
  <si>
    <t>ICICI Bank</t>
  </si>
  <si>
    <t>Source / note</t>
  </si>
  <si>
    <t>Ticker</t>
  </si>
  <si>
    <t>HINDUNILVR.NS</t>
  </si>
  <si>
    <t>SUNPHARMA.NS</t>
  </si>
  <si>
    <t>ICICIBANK.NS</t>
  </si>
  <si>
    <t>Yahoo Finance symbol</t>
  </si>
  <si>
    <t>Valuation model</t>
  </si>
  <si>
    <t>Two-stage DDM</t>
  </si>
  <si>
    <t>Two-stage residual income</t>
  </si>
  <si>
    <t>Two-stage residual income (bank)</t>
  </si>
  <si>
    <t>DDM needs a high payout (HUL). Low payout (Sun) or a bank (ICICI) -&gt; residual income</t>
  </si>
  <si>
    <t>Price (Rs)</t>
  </si>
  <si>
    <t>Pipeline data/latest/prices.parquet, last close</t>
  </si>
  <si>
    <t>Beta vs Nifty 50</t>
  </si>
  <si>
    <t>Pipeline metrics.json: daily returns 2016 to price date</t>
  </si>
  <si>
    <t>Cost of equity r = rf + beta x ERP</t>
  </si>
  <si>
    <t>CAPM (BKM Ch 9)</t>
  </si>
  <si>
    <t>Screener P/E (TTM, excl. exceptional items)</t>
  </si>
  <si>
    <t>Screener.in public page (consolidated); HUL and ICICI read 2 Oct, Sun 13 Oct 2026</t>
  </si>
  <si>
    <t>EPS, TTM (Rs) = price / Screener P/E</t>
  </si>
  <si>
    <t>Same earnings basis as the peer P/Es on the Comps sheet</t>
  </si>
  <si>
    <t>EPS FY21 (Rs)</t>
  </si>
  <si>
    <t>Screener.in public page (consolidated), P&amp;L table. Sun's FY21 EPS was depressed by a Rs 3,449 Cr exceptional charge, so its 5-yr CAGR overstates growth (3-yr profit CAGR: 13%)</t>
  </si>
  <si>
    <t>EPS growth, ~5-yr CAGR</t>
  </si>
  <si>
    <t>FY21 to TTM; a reference point for growth assumptions, not used directly</t>
  </si>
  <si>
    <t>Dividend per share FY26 = D0 (Rs)</t>
  </si>
  <si>
    <t>Yahoo Finance dividends: HUL 19 (Nov-25) + 22 (Jun-26); Sun 11 (Feb-26) + 5 (Jul-26); ICICI 12 (Aug-26)</t>
  </si>
  <si>
    <t>Payout ratio (DPS / EPS TTM)</t>
  </si>
  <si>
    <t>Book value per share (Rs)</t>
  </si>
  <si>
    <t>Screener.in public page (consolidated)</t>
  </si>
  <si>
    <t>ROE, latest FY</t>
  </si>
  <si>
    <t>Screener.in public page (consolidated) (HUL's figure includes the FY26 one-off gain)</t>
  </si>
  <si>
    <t>Model assumptions (review these)</t>
  </si>
  <si>
    <t>High-growth years N (1 to 10)</t>
  </si>
  <si>
    <t>Assumption: same horizon for all three for comparability</t>
  </si>
  <si>
    <t>Dividend growth in high-growth phase g1 (DDM)</t>
  </si>
  <si>
    <t>n/a</t>
  </si>
  <si>
    <t>Assumption. HUL: ~5-yr sales CAGR 6.5-7% with flat margins</t>
  </si>
  <si>
    <t>ROE in high-growth phase (residual income)</t>
  </si>
  <si>
    <t>Assumption. Sun: 5-yr average ROE 16%. ICICI: FY26 ROE (3-yr average 17%)</t>
  </si>
  <si>
    <t>Payout in high-growth phase (residual income)</t>
  </si>
  <si>
    <t>Assumption: FY26 payout per Screener (Sun 33%, ICICI 16%)</t>
  </si>
  <si>
    <t>Stable ROE after year N (residual income)</t>
  </si>
  <si>
    <t>Assumption. Sun: 10-yr average ROE 14%. ICICI: fades toward peers (11-14%) but stays above</t>
  </si>
  <si>
    <t>Terminal growth g2 (keep at or below rf)</t>
  </si>
  <si>
    <t>Assumption: capped at rf, a proxy for long-run nominal growth</t>
  </si>
  <si>
    <t>Check: g2 at or below rf</t>
  </si>
  <si>
    <t>Check: g2 below r</t>
  </si>
  <si>
    <t>Two-stage dividend discount model: Hindustan Unilever</t>
  </si>
  <si>
    <t>Dividends grow at g1 for N years, then at g2 for ever. Value = PV of dividends in years 1-10 + PV of the terminal value at year 10. Years after N already grow at g2, so any N from 1 to 10 gives the textbook two-stage value.</t>
  </si>
  <si>
    <t>Inputs (linked)</t>
  </si>
  <si>
    <t>D0, dividend just paid (Rs)</t>
  </si>
  <si>
    <t>Cost of equity r</t>
  </si>
  <si>
    <t>High-growth rate g1</t>
  </si>
  <si>
    <t>High-growth years N</t>
  </si>
  <si>
    <t>Terminal growth g2</t>
  </si>
  <si>
    <t>Market price (Rs)</t>
  </si>
  <si>
    <t>Year</t>
  </si>
  <si>
    <t>Growth</t>
  </si>
  <si>
    <t>Dividend (Rs)</t>
  </si>
  <si>
    <t>PV (Rs)</t>
  </si>
  <si>
    <t>Results</t>
  </si>
  <si>
    <t>PV of dividends, years 1-10 (Rs)</t>
  </si>
  <si>
    <t>Terminal value at year 10 (Rs)</t>
  </si>
  <si>
    <t>PV of terminal value (Rs)</t>
  </si>
  <si>
    <t>Intrinsic value per share (Rs)</t>
  </si>
  <si>
    <t>Upside (intrinsic / price - 1)</t>
  </si>
  <si>
    <t>Share of value from terminal value</t>
  </si>
  <si>
    <t>Market-implied perpetual growth (reverse DDM)</t>
  </si>
  <si>
    <t>Check: closed-form two-stage value (Rs)</t>
  </si>
  <si>
    <t>Check: table minus closed form (should be 0)</t>
  </si>
  <si>
    <t>Reverse DDM: the constant growth g at which Gordon's formula D0(1+g)/(r-g) equals today's price, i.e. g = (r x P - D0) / (P + D0).</t>
  </si>
  <si>
    <t>Two-stage residual-income (P/B) model: Sun Pharma and ICICI Bank</t>
  </si>
  <si>
    <t>Book value compounds at ROE x retention. For N years the company keeps its current ROE and payout; afterwards payout = 1 - g2/ROE, just enough retention to grow book at g2. Terminal value = book value x justified P/B, where justified P/B = (ROE - g) / (r - g). Implied growth solves single-stage P/B = (ROE - g)/(r - g): g = (r x P/B - ROE) / (P/B - 1).</t>
  </si>
  <si>
    <t>Book value per share now (Rs)</t>
  </si>
  <si>
    <t>ROE in high-growth phase</t>
  </si>
  <si>
    <t>Payout in high-growth phase</t>
  </si>
  <si>
    <t>Stable ROE after year N</t>
  </si>
  <si>
    <t>Stable payout = 1 - g2 / stable ROE</t>
  </si>
  <si>
    <t>Opening book (Rs)</t>
  </si>
  <si>
    <t>ROE</t>
  </si>
  <si>
    <t>EPS (Rs)</t>
  </si>
  <si>
    <t>Payout</t>
  </si>
  <si>
    <t>DPS (Rs)</t>
  </si>
  <si>
    <t>Closing book (Rs)</t>
  </si>
  <si>
    <t>PV of DPS (Rs)</t>
  </si>
  <si>
    <t>Justified P/B at year 10 = (ROE - g2) / (r - g2)</t>
  </si>
  <si>
    <t>Terminal value = book at year 10 x justified P/B (Rs)</t>
  </si>
  <si>
    <t>Intrinsic P/B (intrinsic / book now)</t>
  </si>
  <si>
    <t>Market P/B (price / book now)</t>
  </si>
  <si>
    <t>Market-implied perpetual growth at today's ROE</t>
  </si>
  <si>
    <t>Check: closed-form value (Rs)</t>
  </si>
  <si>
    <t>Peer multiples</t>
  </si>
  <si>
    <t>Peer figures: Screener.in public page (consolidated), read 2 Oct (FMCG, banks) and 13 Oct 2026 (pharma). P/E is Screener's TTM P/E.</t>
  </si>
  <si>
    <t>FMCG peers for Hindustan Unilever</t>
  </si>
  <si>
    <t>Peer</t>
  </si>
  <si>
    <t>P/E (TTM)</t>
  </si>
  <si>
    <t>Nestle India</t>
  </si>
  <si>
    <t>Britannia Industries</t>
  </si>
  <si>
    <t>Dabur India</t>
  </si>
  <si>
    <t>Median peer P/E</t>
  </si>
  <si>
    <t>HUL EPS, TTM (Rs)</t>
  </si>
  <si>
    <t>HUL value at median P/E (Rs)</t>
  </si>
  <si>
    <t>Pharma peers for Sun Pharma</t>
  </si>
  <si>
    <t>Cipla</t>
  </si>
  <si>
    <t>Dr Reddy's Laboratories</t>
  </si>
  <si>
    <t>Divi's Laboratories</t>
  </si>
  <si>
    <t>Sun Pharma EPS, TTM (Rs)</t>
  </si>
  <si>
    <t>Sun Pharma value at median P/E (Rs)</t>
  </si>
  <si>
    <t>Private bank peers for ICICI Bank</t>
  </si>
  <si>
    <t>Book value (Rs)</t>
  </si>
  <si>
    <t>P/B</t>
  </si>
  <si>
    <t>P/B per unit of ROE</t>
  </si>
  <si>
    <t>HDFC Bank</t>
  </si>
  <si>
    <t>Kotak Mahindra Bank</t>
  </si>
  <si>
    <t>Axis Bank</t>
  </si>
  <si>
    <t>Median</t>
  </si>
  <si>
    <t>ICICI Bank ROE (latest FY)</t>
  </si>
  <si>
    <t>ICICI Bank book value per share (Rs)</t>
  </si>
  <si>
    <t>ICICI value at median P/B (Rs), for reference</t>
  </si>
  <si>
    <t>ICICI value at ROE-adjusted median P/B (Rs)</t>
  </si>
  <si>
    <t>ROE-adjusted because justified P/B = (ROE - g)/(r - g) rises with ROE, and ICICI's ROE is above all three peers.</t>
  </si>
  <si>
    <t>Intrinsic value (Rs) vs cost of equity and terminal growth</t>
  </si>
  <si>
    <t>Rows shift r from its CAPM base; columns shift g2 from its base. Other inputs as on Inputs. Bold cell = base case. Blank where g2 &gt;= r (formula invalid).</t>
  </si>
  <si>
    <t>Hindustan Unilever (two-stage DDM)</t>
  </si>
  <si>
    <t>r  \  g2</t>
  </si>
  <si>
    <t>Sun Pharma (two-stage residual income)</t>
  </si>
  <si>
    <t>ICICI Bank (two-stage residual income)</t>
  </si>
  <si>
    <t>ticker</t>
  </si>
  <si>
    <t>name</t>
  </si>
  <si>
    <t>model</t>
  </si>
  <si>
    <t>price</t>
  </si>
  <si>
    <t>cost_of_equity</t>
  </si>
  <si>
    <t>intrinsic_value</t>
  </si>
  <si>
    <t>model_upside</t>
  </si>
  <si>
    <t>comps_value</t>
  </si>
  <si>
    <t>comps_upside</t>
  </si>
  <si>
    <t>blended_value</t>
  </si>
  <si>
    <t>blended_upside</t>
  </si>
  <si>
    <t>market_implied_growth</t>
  </si>
  <si>
    <t>verdict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</si>
</sst>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₹&quot;#,##0.00"/>
    <numFmt numFmtId="181" formatCode="0.0%"/>
    <numFmt numFmtId="182" formatCode="&quot;₹&quot;#,##0"/>
    <numFmt numFmtId="183" formatCode="0.0&quot;x&quot;"/>
  </numFmts>
  <fonts count="30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sz val="10"/>
      <color rgb="FF008000"/>
      <name val="Arial"/>
      <charset val="134"/>
    </font>
    <font>
      <sz val="10"/>
      <color rgb="FF000000"/>
      <name val="Arial"/>
      <charset val="134"/>
    </font>
    <font>
      <b/>
      <sz val="14"/>
      <name val="Arial"/>
      <charset val="134"/>
    </font>
    <font>
      <i/>
      <sz val="10"/>
      <color rgb="FF666666"/>
      <name val="Arial"/>
      <charset val="134"/>
    </font>
    <font>
      <b/>
      <sz val="10"/>
      <color rgb="FF000000"/>
      <name val="Arial"/>
      <charset val="134"/>
    </font>
    <font>
      <sz val="10"/>
      <color rgb="FF0000FF"/>
      <name val="Arial"/>
      <charset val="134"/>
    </font>
    <font>
      <b/>
      <sz val="12"/>
      <name val="Arial"/>
      <charset val="134"/>
    </font>
    <font>
      <sz val="10"/>
      <color rgb="FF666666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/>
    <xf numFmtId="180" fontId="2" fillId="0" borderId="0" xfId="0" applyNumberFormat="1" applyFont="1"/>
    <xf numFmtId="181" fontId="2" fillId="0" borderId="0" xfId="0" applyNumberFormat="1" applyFont="1"/>
    <xf numFmtId="181" fontId="3" fillId="0" borderId="0" xfId="0" applyNumberFormat="1" applyFont="1"/>
    <xf numFmtId="180" fontId="3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81" fontId="6" fillId="0" borderId="0" xfId="0" applyNumberFormat="1" applyFont="1"/>
    <xf numFmtId="182" fontId="3" fillId="0" borderId="0" xfId="0" applyNumberFormat="1" applyFont="1"/>
    <xf numFmtId="182" fontId="6" fillId="0" borderId="0" xfId="0" applyNumberFormat="1" applyFont="1"/>
    <xf numFmtId="2" fontId="7" fillId="0" borderId="0" xfId="0" applyNumberFormat="1" applyFont="1"/>
    <xf numFmtId="180" fontId="7" fillId="0" borderId="0" xfId="0" applyNumberFormat="1" applyFont="1"/>
    <xf numFmtId="2" fontId="6" fillId="0" borderId="0" xfId="0" applyNumberFormat="1" applyFont="1"/>
    <xf numFmtId="180" fontId="6" fillId="0" borderId="0" xfId="0" applyNumberFormat="1" applyFont="1"/>
    <xf numFmtId="181" fontId="7" fillId="0" borderId="0" xfId="0" applyNumberFormat="1" applyFont="1"/>
    <xf numFmtId="183" fontId="3" fillId="0" borderId="0" xfId="0" applyNumberFormat="1" applyFont="1"/>
    <xf numFmtId="2" fontId="3" fillId="0" borderId="0" xfId="0" applyNumberFormat="1" applyFont="1"/>
    <xf numFmtId="183" fontId="6" fillId="0" borderId="0" xfId="0" applyNumberFormat="1" applyFont="1"/>
    <xf numFmtId="0" fontId="8" fillId="0" borderId="0" xfId="0" applyFont="1"/>
    <xf numFmtId="1" fontId="2" fillId="0" borderId="0" xfId="0" applyNumberFormat="1" applyFont="1"/>
    <xf numFmtId="0" fontId="9" fillId="0" borderId="0" xfId="0" applyFont="1"/>
    <xf numFmtId="181" fontId="7" fillId="3" borderId="0" xfId="0" applyNumberFormat="1" applyFont="1" applyFill="1"/>
    <xf numFmtId="0" fontId="7" fillId="0" borderId="0" xfId="0" applyFont="1"/>
    <xf numFmtId="1" fontId="7" fillId="3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0"/>
  <sheetViews>
    <sheetView tabSelected="1" workbookViewId="0">
      <selection activeCell="A1" sqref="A1"/>
    </sheetView>
  </sheetViews>
  <sheetFormatPr defaultColWidth="9" defaultRowHeight="14.25"/>
  <cols>
    <col min="1" max="1" width="120" customWidth="1"/>
  </cols>
  <sheetData>
    <row r="1" ht="17.6" spans="1:1">
      <c r="A1" s="8" t="s">
        <v>0</v>
      </c>
    </row>
    <row r="2" spans="1:1">
      <c r="A2" s="7" t="s">
        <v>1</v>
      </c>
    </row>
    <row r="3" spans="1:1">
      <c r="A3" s="10" t="s">
        <v>2</v>
      </c>
    </row>
    <row r="4" spans="1:1">
      <c r="A4" s="7" t="s">
        <v>3</v>
      </c>
    </row>
    <row r="5" spans="1:1">
      <c r="A5" s="7" t="s">
        <v>4</v>
      </c>
    </row>
    <row r="6" spans="1:1">
      <c r="A6" s="7" t="s">
        <v>5</v>
      </c>
    </row>
    <row r="7" spans="1:1">
      <c r="A7" s="7" t="s">
        <v>6</v>
      </c>
    </row>
    <row r="8" spans="1:1">
      <c r="A8" s="7" t="s">
        <v>1</v>
      </c>
    </row>
    <row r="9" spans="1:1">
      <c r="A9" s="10" t="s">
        <v>7</v>
      </c>
    </row>
    <row r="10" spans="1:1">
      <c r="A10" s="7" t="s">
        <v>8</v>
      </c>
    </row>
    <row r="11" spans="1:1">
      <c r="A11" s="7" t="s">
        <v>9</v>
      </c>
    </row>
    <row r="12" spans="1:1">
      <c r="A12" s="7" t="s">
        <v>10</v>
      </c>
    </row>
    <row r="13" spans="1:1">
      <c r="A13" s="7" t="s">
        <v>11</v>
      </c>
    </row>
    <row r="14" spans="1:1">
      <c r="A14" s="7" t="s">
        <v>12</v>
      </c>
    </row>
    <row r="15" spans="1:1">
      <c r="A15" s="7" t="s">
        <v>13</v>
      </c>
    </row>
    <row r="16" spans="1:1">
      <c r="A16" s="7" t="s">
        <v>1</v>
      </c>
    </row>
    <row r="17" spans="1:1">
      <c r="A17" s="10" t="s">
        <v>14</v>
      </c>
    </row>
    <row r="18" spans="1:1">
      <c r="A18" s="7" t="s">
        <v>15</v>
      </c>
    </row>
    <row r="19" spans="1:1">
      <c r="A19" s="7" t="s">
        <v>1</v>
      </c>
    </row>
    <row r="20" spans="1:1">
      <c r="A20" s="10" t="s">
        <v>16</v>
      </c>
    </row>
    <row r="21" spans="1:1">
      <c r="A21" s="7" t="s">
        <v>17</v>
      </c>
    </row>
    <row r="22" spans="1:1">
      <c r="A22" s="7" t="s">
        <v>18</v>
      </c>
    </row>
    <row r="23" spans="1:1">
      <c r="A23" s="7" t="s">
        <v>1</v>
      </c>
    </row>
    <row r="24" spans="1:1">
      <c r="A24" s="10" t="s">
        <v>19</v>
      </c>
    </row>
    <row r="25" spans="1:1">
      <c r="A25" s="7" t="s">
        <v>20</v>
      </c>
    </row>
    <row r="26" spans="1:1">
      <c r="A26" s="7" t="s">
        <v>21</v>
      </c>
    </row>
    <row r="27" spans="1:1">
      <c r="A27" s="7" t="s">
        <v>22</v>
      </c>
    </row>
    <row r="28" spans="1:1">
      <c r="A28" s="7" t="s">
        <v>23</v>
      </c>
    </row>
    <row r="29" spans="1:1">
      <c r="A29" s="7" t="s">
        <v>24</v>
      </c>
    </row>
    <row r="30" spans="1:1">
      <c r="A30" s="7" t="s">
        <v>25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pane xSplit="1" ySplit="10" topLeftCell="B11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46" customWidth="1"/>
    <col min="2" max="3" width="20" customWidth="1"/>
    <col min="4" max="4" width="30" customWidth="1"/>
    <col min="5" max="5" width="100" customWidth="1"/>
  </cols>
  <sheetData>
    <row r="1" ht="17.6" spans="1:5">
      <c r="A1" s="8" t="s">
        <v>26</v>
      </c>
    </row>
    <row r="2" spans="1:5">
      <c r="A2" s="9" t="s">
        <v>27</v>
      </c>
    </row>
    <row r="4" spans="1:5">
      <c r="A4" s="10" t="s">
        <v>28</v>
      </c>
    </row>
    <row r="5" spans="1:5">
      <c r="A5" s="7" t="s">
        <v>29</v>
      </c>
      <c r="B5" s="18">
        <v>0.055199</v>
      </c>
      <c r="E5" s="24" t="s">
        <v>30</v>
      </c>
    </row>
    <row r="6" spans="1:5">
      <c r="A6" s="7" t="s">
        <v>31</v>
      </c>
      <c r="B6" s="18">
        <v>0.0708</v>
      </c>
      <c r="E6" s="24" t="s">
        <v>32</v>
      </c>
    </row>
    <row r="7" spans="1:5">
      <c r="A7" s="7" t="s">
        <v>33</v>
      </c>
      <c r="B7" s="25">
        <v>0.15</v>
      </c>
      <c r="E7" s="24" t="s">
        <v>34</v>
      </c>
    </row>
    <row r="8" spans="1:5">
      <c r="A8" s="7" t="s">
        <v>35</v>
      </c>
      <c r="B8" s="26" t="s">
        <v>36</v>
      </c>
      <c r="E8" s="24" t="s">
        <v>37</v>
      </c>
    </row>
    <row r="10" spans="1:5">
      <c r="A10" s="1" t="s">
        <v>38</v>
      </c>
      <c r="B10" s="1" t="s">
        <v>39</v>
      </c>
      <c r="C10" s="1" t="s">
        <v>40</v>
      </c>
      <c r="D10" s="1" t="s">
        <v>41</v>
      </c>
      <c r="E10" s="1" t="s">
        <v>42</v>
      </c>
    </row>
    <row r="11" spans="1:5">
      <c r="A11" s="7" t="s">
        <v>43</v>
      </c>
      <c r="B11" s="26" t="s">
        <v>44</v>
      </c>
      <c r="C11" s="26" t="s">
        <v>45</v>
      </c>
      <c r="D11" s="26" t="s">
        <v>46</v>
      </c>
      <c r="E11" s="24" t="s">
        <v>47</v>
      </c>
    </row>
    <row r="12" spans="1:5">
      <c r="A12" s="7" t="s">
        <v>48</v>
      </c>
      <c r="B12" s="26" t="s">
        <v>49</v>
      </c>
      <c r="C12" s="26" t="s">
        <v>50</v>
      </c>
      <c r="D12" s="26" t="s">
        <v>51</v>
      </c>
      <c r="E12" s="24" t="s">
        <v>52</v>
      </c>
    </row>
    <row r="13" spans="1:5">
      <c r="A13" s="7" t="s">
        <v>53</v>
      </c>
      <c r="B13" s="15">
        <v>1861.9</v>
      </c>
      <c r="C13" s="15">
        <v>1759.8</v>
      </c>
      <c r="D13" s="15">
        <v>1350.5</v>
      </c>
      <c r="E13" s="24" t="s">
        <v>54</v>
      </c>
    </row>
    <row r="14" spans="1:5">
      <c r="A14" s="7" t="s">
        <v>55</v>
      </c>
      <c r="B14" s="14">
        <v>0.6016</v>
      </c>
      <c r="C14" s="14">
        <v>0.6454</v>
      </c>
      <c r="D14" s="14">
        <v>1.2928</v>
      </c>
      <c r="E14" s="24" t="s">
        <v>56</v>
      </c>
    </row>
    <row r="15" spans="1:5">
      <c r="A15" s="7" t="s">
        <v>57</v>
      </c>
      <c r="B15" s="5">
        <f>$B$5+B14*$B$6</f>
        <v>0.09779228</v>
      </c>
      <c r="C15" s="5">
        <f>$B$5+C14*$B$6</f>
        <v>0.10089332</v>
      </c>
      <c r="D15" s="5">
        <f>$B$5+D14*$B$6</f>
        <v>0.14672924</v>
      </c>
      <c r="E15" s="24" t="s">
        <v>58</v>
      </c>
    </row>
    <row r="16" spans="1:5">
      <c r="A16" s="7" t="s">
        <v>59</v>
      </c>
      <c r="B16" s="14">
        <v>39.1</v>
      </c>
      <c r="C16" s="14">
        <v>33.4</v>
      </c>
      <c r="D16" s="14">
        <v>16.8</v>
      </c>
      <c r="E16" s="24" t="s">
        <v>60</v>
      </c>
    </row>
    <row r="17" spans="1:5">
      <c r="A17" s="7" t="s">
        <v>61</v>
      </c>
      <c r="B17" s="6">
        <f>B13/B16</f>
        <v>47.618925831202</v>
      </c>
      <c r="C17" s="6">
        <f>C13/C16</f>
        <v>52.688622754491</v>
      </c>
      <c r="D17" s="6">
        <f>D13/D16</f>
        <v>80.3869047619048</v>
      </c>
      <c r="E17" s="24" t="s">
        <v>62</v>
      </c>
    </row>
    <row r="18" spans="1:5">
      <c r="A18" s="7" t="s">
        <v>63</v>
      </c>
      <c r="B18" s="15">
        <v>34.03</v>
      </c>
      <c r="C18" s="15">
        <v>12.1</v>
      </c>
      <c r="D18" s="15">
        <v>26.58</v>
      </c>
      <c r="E18" s="24" t="s">
        <v>64</v>
      </c>
    </row>
    <row r="19" spans="1:5">
      <c r="A19" s="7" t="s">
        <v>65</v>
      </c>
      <c r="B19" s="5">
        <f>(B17/B18)^(1/5)-1</f>
        <v>0.0695067480307374</v>
      </c>
      <c r="C19" s="5">
        <f>(C17/C18)^(1/5)-1</f>
        <v>0.342104384786903</v>
      </c>
      <c r="D19" s="5">
        <f>(D17/D18)^(1/5)-1</f>
        <v>0.247745654518664</v>
      </c>
      <c r="E19" s="24" t="s">
        <v>66</v>
      </c>
    </row>
    <row r="20" spans="1:5">
      <c r="A20" s="7" t="s">
        <v>67</v>
      </c>
      <c r="B20" s="15">
        <v>41</v>
      </c>
      <c r="C20" s="15">
        <v>16</v>
      </c>
      <c r="D20" s="15">
        <v>12</v>
      </c>
      <c r="E20" s="24" t="s">
        <v>68</v>
      </c>
    </row>
    <row r="21" spans="1:5">
      <c r="A21" s="7" t="s">
        <v>69</v>
      </c>
      <c r="B21" s="5">
        <f>B20/B17</f>
        <v>0.861002202051668</v>
      </c>
      <c r="C21" s="5">
        <f>C20/C17</f>
        <v>0.303670871689965</v>
      </c>
      <c r="D21" s="5">
        <f>D20/D17</f>
        <v>0.149278045168456</v>
      </c>
      <c r="E21" s="24" t="s">
        <v>1</v>
      </c>
    </row>
    <row r="22" spans="1:5">
      <c r="A22" s="7" t="s">
        <v>70</v>
      </c>
      <c r="B22" s="15">
        <v>207</v>
      </c>
      <c r="C22" s="15">
        <v>348</v>
      </c>
      <c r="D22" s="15">
        <v>527</v>
      </c>
      <c r="E22" s="24" t="s">
        <v>71</v>
      </c>
    </row>
    <row r="23" spans="1:5">
      <c r="A23" s="7" t="s">
        <v>72</v>
      </c>
      <c r="B23" s="18">
        <v>0.31</v>
      </c>
      <c r="C23" s="18">
        <v>0.16</v>
      </c>
      <c r="D23" s="18">
        <v>0.159</v>
      </c>
      <c r="E23" s="24" t="s">
        <v>73</v>
      </c>
    </row>
    <row r="25" spans="1:5">
      <c r="A25" s="10" t="s">
        <v>74</v>
      </c>
    </row>
    <row r="26" spans="1:5">
      <c r="A26" s="7" t="s">
        <v>75</v>
      </c>
      <c r="B26" s="27">
        <v>5</v>
      </c>
      <c r="C26" s="27">
        <v>5</v>
      </c>
      <c r="D26" s="27">
        <v>5</v>
      </c>
      <c r="E26" s="24" t="s">
        <v>76</v>
      </c>
    </row>
    <row r="27" spans="1:5">
      <c r="A27" s="7" t="s">
        <v>77</v>
      </c>
      <c r="B27" s="25">
        <v>0.07</v>
      </c>
      <c r="C27" s="24" t="s">
        <v>78</v>
      </c>
      <c r="D27" s="24" t="s">
        <v>78</v>
      </c>
      <c r="E27" s="24" t="s">
        <v>79</v>
      </c>
    </row>
    <row r="28" spans="1:5">
      <c r="A28" s="7" t="s">
        <v>80</v>
      </c>
      <c r="B28" s="24" t="s">
        <v>78</v>
      </c>
      <c r="C28" s="25">
        <v>0.16</v>
      </c>
      <c r="D28" s="25">
        <v>0.16</v>
      </c>
      <c r="E28" s="24" t="s">
        <v>81</v>
      </c>
    </row>
    <row r="29" spans="1:5">
      <c r="A29" s="7" t="s">
        <v>82</v>
      </c>
      <c r="B29" s="24" t="s">
        <v>78</v>
      </c>
      <c r="C29" s="25">
        <v>0.33</v>
      </c>
      <c r="D29" s="25">
        <v>0.16</v>
      </c>
      <c r="E29" s="24" t="s">
        <v>83</v>
      </c>
    </row>
    <row r="30" spans="1:5">
      <c r="A30" s="7" t="s">
        <v>84</v>
      </c>
      <c r="B30" s="24" t="s">
        <v>78</v>
      </c>
      <c r="C30" s="25">
        <v>0.14</v>
      </c>
      <c r="D30" s="25">
        <v>0.15</v>
      </c>
      <c r="E30" s="24" t="s">
        <v>85</v>
      </c>
    </row>
    <row r="31" spans="1:5">
      <c r="A31" s="7" t="s">
        <v>86</v>
      </c>
      <c r="B31" s="25">
        <v>0.055</v>
      </c>
      <c r="C31" s="25">
        <v>0.055</v>
      </c>
      <c r="D31" s="25">
        <v>0.055</v>
      </c>
      <c r="E31" s="24" t="s">
        <v>87</v>
      </c>
    </row>
    <row r="32" spans="1:5">
      <c r="A32" s="7" t="s">
        <v>88</v>
      </c>
      <c r="B32" s="7" t="str">
        <f>IF(B31&lt;=$B$5,"OK","g2 above rf")</f>
        <v>OK</v>
      </c>
      <c r="C32" s="7" t="str">
        <f>IF(C31&lt;=$B$5,"OK","g2 above rf")</f>
        <v>OK</v>
      </c>
      <c r="D32" s="7" t="str">
        <f>IF(D31&lt;=$B$5,"OK","g2 above rf")</f>
        <v>OK</v>
      </c>
      <c r="E32" s="24" t="s">
        <v>1</v>
      </c>
    </row>
    <row r="33" spans="1:5">
      <c r="A33" s="7" t="s">
        <v>89</v>
      </c>
      <c r="B33" s="7" t="str">
        <f>IF(B31&lt;B15,"OK","g2 must be below r")</f>
        <v>OK</v>
      </c>
      <c r="C33" s="7" t="str">
        <f>IF(C31&lt;C15,"OK","g2 must be below r")</f>
        <v>OK</v>
      </c>
      <c r="D33" s="7" t="str">
        <f>IF(D31&lt;D15,"OK","g2 must be below r")</f>
        <v>OK</v>
      </c>
      <c r="E33" s="24" t="s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A1" sqref="A1"/>
    </sheetView>
  </sheetViews>
  <sheetFormatPr defaultColWidth="9" defaultRowHeight="14.25" outlineLevelCol="3"/>
  <cols>
    <col min="1" max="1" width="46" customWidth="1"/>
    <col min="2" max="2" width="20" customWidth="1"/>
    <col min="3" max="3" width="16" customWidth="1"/>
    <col min="4" max="4" width="14" customWidth="1"/>
  </cols>
  <sheetData>
    <row r="1" ht="17.6" spans="1:4">
      <c r="A1" s="8" t="s">
        <v>90</v>
      </c>
    </row>
    <row r="2" spans="1:4">
      <c r="A2" s="9" t="s">
        <v>91</v>
      </c>
    </row>
    <row r="4" spans="1:4">
      <c r="A4" s="1" t="s">
        <v>92</v>
      </c>
      <c r="B4" s="1" t="s">
        <v>39</v>
      </c>
    </row>
    <row r="5" spans="1:4">
      <c r="A5" s="7" t="s">
        <v>93</v>
      </c>
      <c r="B5" s="3">
        <f>Inputs!B20</f>
        <v>41</v>
      </c>
    </row>
    <row r="6" spans="1:4">
      <c r="A6" s="7" t="s">
        <v>94</v>
      </c>
      <c r="B6" s="4">
        <f>Inputs!B15</f>
        <v>0.09779228</v>
      </c>
    </row>
    <row r="7" spans="1:4">
      <c r="A7" s="7" t="s">
        <v>95</v>
      </c>
      <c r="B7" s="4">
        <f>Inputs!B27</f>
        <v>0.07</v>
      </c>
    </row>
    <row r="8" spans="1:4">
      <c r="A8" s="7" t="s">
        <v>96</v>
      </c>
      <c r="B8" s="23">
        <f>Inputs!B26</f>
        <v>5</v>
      </c>
    </row>
    <row r="9" spans="1:4">
      <c r="A9" s="7" t="s">
        <v>97</v>
      </c>
      <c r="B9" s="4">
        <f>Inputs!B31</f>
        <v>0.055</v>
      </c>
    </row>
    <row r="10" spans="1:4">
      <c r="A10" s="7" t="s">
        <v>98</v>
      </c>
      <c r="B10" s="3">
        <f>Inputs!B13</f>
        <v>1861.9</v>
      </c>
    </row>
    <row r="12" spans="1:4">
      <c r="A12" s="1" t="s">
        <v>99</v>
      </c>
      <c r="B12" s="1" t="s">
        <v>100</v>
      </c>
      <c r="C12" s="1" t="s">
        <v>101</v>
      </c>
      <c r="D12" s="1" t="s">
        <v>102</v>
      </c>
    </row>
    <row r="13" spans="1:4">
      <c r="A13" s="7">
        <v>0</v>
      </c>
      <c r="C13" s="6">
        <f>B5</f>
        <v>41</v>
      </c>
    </row>
    <row r="14" spans="1:4">
      <c r="A14" s="7">
        <v>1</v>
      </c>
      <c r="B14" s="5">
        <f t="shared" ref="B14:B23" si="0">IF(A14&lt;=$B$8,$B$7,$B$9)</f>
        <v>0.07</v>
      </c>
      <c r="C14" s="6">
        <f t="shared" ref="C14:C23" si="1">C13*(1+B14)</f>
        <v>43.87</v>
      </c>
      <c r="D14" s="6">
        <f t="shared" ref="D14:D23" si="2">C14/(1+$B$6)^A14</f>
        <v>39.9620226879351</v>
      </c>
    </row>
    <row r="15" spans="1:4">
      <c r="A15" s="7">
        <v>2</v>
      </c>
      <c r="B15" s="5">
        <f t="shared" si="0"/>
        <v>0.07</v>
      </c>
      <c r="C15" s="6">
        <f t="shared" si="1"/>
        <v>46.9409</v>
      </c>
      <c r="D15" s="6">
        <f t="shared" si="2"/>
        <v>38.9503233490498</v>
      </c>
    </row>
    <row r="16" spans="1:4">
      <c r="A16" s="7">
        <v>3</v>
      </c>
      <c r="B16" s="5">
        <f t="shared" si="0"/>
        <v>0.07</v>
      </c>
      <c r="C16" s="6">
        <f t="shared" si="1"/>
        <v>50.226763</v>
      </c>
      <c r="D16" s="6">
        <f t="shared" si="2"/>
        <v>37.9642367165155</v>
      </c>
    </row>
    <row r="17" spans="1:4">
      <c r="A17" s="7">
        <v>4</v>
      </c>
      <c r="B17" s="5">
        <f t="shared" si="0"/>
        <v>0.07</v>
      </c>
      <c r="C17" s="6">
        <f t="shared" si="1"/>
        <v>53.74263641</v>
      </c>
      <c r="D17" s="6">
        <f t="shared" si="2"/>
        <v>37.0031143657446</v>
      </c>
    </row>
    <row r="18" spans="1:4">
      <c r="A18" s="7">
        <v>5</v>
      </c>
      <c r="B18" s="5">
        <f t="shared" si="0"/>
        <v>0.07</v>
      </c>
      <c r="C18" s="6">
        <f t="shared" si="1"/>
        <v>57.5046209587</v>
      </c>
      <c r="D18" s="6">
        <f t="shared" si="2"/>
        <v>36.0663242880035</v>
      </c>
    </row>
    <row r="19" spans="1:4">
      <c r="A19" s="7">
        <v>6</v>
      </c>
      <c r="B19" s="5">
        <f t="shared" si="0"/>
        <v>0.055</v>
      </c>
      <c r="C19" s="6">
        <f t="shared" si="1"/>
        <v>60.6673751114285</v>
      </c>
      <c r="D19" s="6">
        <f t="shared" si="2"/>
        <v>34.6604478980702</v>
      </c>
    </row>
    <row r="20" spans="1:4">
      <c r="A20" s="7">
        <v>7</v>
      </c>
      <c r="B20" s="5">
        <f t="shared" si="0"/>
        <v>0.055</v>
      </c>
      <c r="C20" s="6">
        <f t="shared" si="1"/>
        <v>64.0040807425571</v>
      </c>
      <c r="D20" s="6">
        <f t="shared" si="2"/>
        <v>33.3093730012968</v>
      </c>
    </row>
    <row r="21" spans="1:4">
      <c r="A21" s="7">
        <v>8</v>
      </c>
      <c r="B21" s="5">
        <f t="shared" si="0"/>
        <v>0.055</v>
      </c>
      <c r="C21" s="6">
        <f t="shared" si="1"/>
        <v>67.5243051833977</v>
      </c>
      <c r="D21" s="6">
        <f t="shared" si="2"/>
        <v>32.0109634186607</v>
      </c>
    </row>
    <row r="22" spans="1:4">
      <c r="A22" s="7">
        <v>9</v>
      </c>
      <c r="B22" s="5">
        <f t="shared" si="0"/>
        <v>0.055</v>
      </c>
      <c r="C22" s="6">
        <f t="shared" si="1"/>
        <v>71.2381419684846</v>
      </c>
      <c r="D22" s="6">
        <f t="shared" si="2"/>
        <v>30.7631662400532</v>
      </c>
    </row>
    <row r="23" spans="1:4">
      <c r="A23" s="7">
        <v>10</v>
      </c>
      <c r="B23" s="5">
        <f t="shared" si="0"/>
        <v>0.055</v>
      </c>
      <c r="C23" s="6">
        <f t="shared" si="1"/>
        <v>75.1562397767512</v>
      </c>
      <c r="D23" s="6">
        <f t="shared" si="2"/>
        <v>29.5640085784318</v>
      </c>
    </row>
    <row r="25" spans="1:4">
      <c r="A25" s="1" t="s">
        <v>103</v>
      </c>
      <c r="B25" s="1" t="s">
        <v>39</v>
      </c>
    </row>
    <row r="26" spans="1:4">
      <c r="A26" s="7" t="s">
        <v>104</v>
      </c>
      <c r="B26" s="6">
        <f>SUM(D14:D23)</f>
        <v>350.253980543761</v>
      </c>
    </row>
    <row r="27" spans="1:4">
      <c r="A27" s="7" t="s">
        <v>105</v>
      </c>
      <c r="B27" s="6">
        <f>C23*(1+B9)/(B6-B9)</f>
        <v>1852.90040550474</v>
      </c>
    </row>
    <row r="28" spans="1:4">
      <c r="A28" s="7" t="s">
        <v>106</v>
      </c>
      <c r="B28" s="6">
        <f>B27/(1+B6)^10</f>
        <v>728.870465659822</v>
      </c>
    </row>
    <row r="29" spans="1:4">
      <c r="A29" s="10" t="s">
        <v>107</v>
      </c>
      <c r="B29" s="17">
        <f>B26+B28</f>
        <v>1079.12444620358</v>
      </c>
    </row>
    <row r="30" spans="1:4">
      <c r="A30" s="7" t="s">
        <v>98</v>
      </c>
      <c r="B30" s="6">
        <f>B10</f>
        <v>1861.9</v>
      </c>
    </row>
    <row r="31" spans="1:4">
      <c r="A31" s="7" t="s">
        <v>108</v>
      </c>
      <c r="B31" s="5">
        <f>B29/B30-1</f>
        <v>-0.420417613081485</v>
      </c>
    </row>
    <row r="32" spans="1:4">
      <c r="A32" s="7" t="s">
        <v>109</v>
      </c>
      <c r="B32" s="5">
        <f>B28/B29</f>
        <v>0.675427628596523</v>
      </c>
    </row>
    <row r="33" spans="1:2">
      <c r="A33" s="7" t="s">
        <v>110</v>
      </c>
      <c r="B33" s="5">
        <f>(B6*B30-B5)/(B30+B5)</f>
        <v>0.074139180268012</v>
      </c>
    </row>
    <row r="34" spans="1:2">
      <c r="A34" s="7" t="s">
        <v>111</v>
      </c>
      <c r="B34" s="6">
        <f>B5*(1+B7)/(B6-B7)*(1-((1+B7)/(1+B6))^B8)+B5*(1+B7)^B8*(1+B9)/((B6-B9)*(1+B6)^B8)</f>
        <v>1079.12444620358</v>
      </c>
    </row>
    <row r="35" spans="1:2">
      <c r="A35" s="7" t="s">
        <v>112</v>
      </c>
      <c r="B35" s="20">
        <f>ROUND(B29-B34,6)</f>
        <v>0</v>
      </c>
    </row>
    <row r="36" spans="1:2">
      <c r="A36" s="9" t="s">
        <v>113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0"/>
  <sheetViews>
    <sheetView workbookViewId="0">
      <selection activeCell="A1" sqref="A1"/>
    </sheetView>
  </sheetViews>
  <sheetFormatPr defaultColWidth="9" defaultRowHeight="14.25" outlineLevelCol="7"/>
  <cols>
    <col min="1" max="1" width="50" customWidth="1"/>
    <col min="2" max="2" width="18" customWidth="1"/>
    <col min="3" max="3" width="10" customWidth="1"/>
    <col min="4" max="4" width="12" customWidth="1"/>
    <col min="5" max="5" width="10" customWidth="1"/>
    <col min="6" max="6" width="12" customWidth="1"/>
    <col min="7" max="7" width="18" customWidth="1"/>
    <col min="8" max="8" width="16" customWidth="1"/>
  </cols>
  <sheetData>
    <row r="1" ht="17.6" spans="1:8">
      <c r="A1" s="8" t="s">
        <v>114</v>
      </c>
    </row>
    <row r="2" spans="1:8">
      <c r="A2" s="9" t="s">
        <v>115</v>
      </c>
    </row>
    <row r="4" ht="15" spans="1:8">
      <c r="A4" s="22" t="s">
        <v>40</v>
      </c>
    </row>
    <row r="5" spans="1:8">
      <c r="A5" s="7" t="s">
        <v>116</v>
      </c>
      <c r="B5" s="3">
        <f>Inputs!C22</f>
        <v>348</v>
      </c>
    </row>
    <row r="6" spans="1:8">
      <c r="A6" s="7" t="s">
        <v>94</v>
      </c>
      <c r="B6" s="4">
        <f>Inputs!C15</f>
        <v>0.10089332</v>
      </c>
    </row>
    <row r="7" spans="1:8">
      <c r="A7" s="7" t="s">
        <v>96</v>
      </c>
      <c r="B7" s="23">
        <f>Inputs!C26</f>
        <v>5</v>
      </c>
    </row>
    <row r="8" spans="1:8">
      <c r="A8" s="7" t="s">
        <v>117</v>
      </c>
      <c r="B8" s="4">
        <f>Inputs!C28</f>
        <v>0.16</v>
      </c>
    </row>
    <row r="9" spans="1:8">
      <c r="A9" s="7" t="s">
        <v>118</v>
      </c>
      <c r="B9" s="4">
        <f>Inputs!C29</f>
        <v>0.33</v>
      </c>
    </row>
    <row r="10" spans="1:8">
      <c r="A10" s="7" t="s">
        <v>119</v>
      </c>
      <c r="B10" s="4">
        <f>Inputs!C30</f>
        <v>0.14</v>
      </c>
    </row>
    <row r="11" spans="1:8">
      <c r="A11" s="7" t="s">
        <v>97</v>
      </c>
      <c r="B11" s="4">
        <f>Inputs!C31</f>
        <v>0.055</v>
      </c>
    </row>
    <row r="12" spans="1:8">
      <c r="A12" s="7" t="s">
        <v>98</v>
      </c>
      <c r="B12" s="3">
        <f>Inputs!C13</f>
        <v>1759.8</v>
      </c>
    </row>
    <row r="13" spans="1:8">
      <c r="A13" s="7" t="s">
        <v>72</v>
      </c>
      <c r="B13" s="4">
        <f>Inputs!C23</f>
        <v>0.16</v>
      </c>
    </row>
    <row r="14" spans="1:8">
      <c r="A14" s="7" t="s">
        <v>120</v>
      </c>
      <c r="B14" s="5">
        <f>1-$B$11/$B$10</f>
        <v>0.607142857142857</v>
      </c>
    </row>
    <row r="16" spans="1:8">
      <c r="A16" s="1" t="s">
        <v>99</v>
      </c>
      <c r="B16" s="1" t="s">
        <v>121</v>
      </c>
      <c r="C16" s="1" t="s">
        <v>122</v>
      </c>
      <c r="D16" s="1" t="s">
        <v>123</v>
      </c>
      <c r="E16" s="1" t="s">
        <v>124</v>
      </c>
      <c r="F16" s="1" t="s">
        <v>125</v>
      </c>
      <c r="G16" s="1" t="s">
        <v>126</v>
      </c>
      <c r="H16" s="1" t="s">
        <v>127</v>
      </c>
    </row>
    <row r="17" spans="1:8">
      <c r="A17" s="7">
        <v>1</v>
      </c>
      <c r="B17" s="6">
        <f>$B$5</f>
        <v>348</v>
      </c>
      <c r="C17" s="5">
        <f t="shared" ref="C17:C26" si="0">IF(A17&lt;=$B$7,$B$8,$B$10)</f>
        <v>0.16</v>
      </c>
      <c r="D17" s="6">
        <f t="shared" ref="D17:D26" si="1">B17*C17</f>
        <v>55.68</v>
      </c>
      <c r="E17" s="5">
        <f t="shared" ref="E17:E26" si="2">IF(A17&lt;=$B$7,$B$9,$B$14)</f>
        <v>0.33</v>
      </c>
      <c r="F17" s="6">
        <f t="shared" ref="F17:F26" si="3">D17*E17</f>
        <v>18.3744</v>
      </c>
      <c r="G17" s="6">
        <f t="shared" ref="G17:G26" si="4">B17+D17-F17</f>
        <v>385.3056</v>
      </c>
      <c r="H17" s="6">
        <f t="shared" ref="H17:H26" si="5">F17/(1+$B$6)^A17</f>
        <v>16.6904455374477</v>
      </c>
    </row>
    <row r="18" spans="1:8">
      <c r="A18" s="7">
        <v>2</v>
      </c>
      <c r="B18" s="6">
        <f t="shared" ref="B18:B26" si="6">G17</f>
        <v>385.3056</v>
      </c>
      <c r="C18" s="5">
        <f t="shared" si="0"/>
        <v>0.16</v>
      </c>
      <c r="D18" s="6">
        <f t="shared" si="1"/>
        <v>61.648896</v>
      </c>
      <c r="E18" s="5">
        <f t="shared" si="2"/>
        <v>0.33</v>
      </c>
      <c r="F18" s="6">
        <f t="shared" si="3"/>
        <v>20.34413568</v>
      </c>
      <c r="G18" s="6">
        <f t="shared" si="4"/>
        <v>426.61036032</v>
      </c>
      <c r="H18" s="6">
        <f t="shared" si="5"/>
        <v>16.7860599781477</v>
      </c>
    </row>
    <row r="19" spans="1:8">
      <c r="A19" s="7">
        <v>3</v>
      </c>
      <c r="B19" s="6">
        <f t="shared" si="6"/>
        <v>426.61036032</v>
      </c>
      <c r="C19" s="5">
        <f t="shared" si="0"/>
        <v>0.16</v>
      </c>
      <c r="D19" s="6">
        <f t="shared" si="1"/>
        <v>68.2576576512</v>
      </c>
      <c r="E19" s="5">
        <f t="shared" si="2"/>
        <v>0.33</v>
      </c>
      <c r="F19" s="6">
        <f t="shared" si="3"/>
        <v>22.525027024896</v>
      </c>
      <c r="G19" s="6">
        <f t="shared" si="4"/>
        <v>472.342990946304</v>
      </c>
      <c r="H19" s="6">
        <f t="shared" si="5"/>
        <v>16.8822221646373</v>
      </c>
    </row>
    <row r="20" spans="1:8">
      <c r="A20" s="7">
        <v>4</v>
      </c>
      <c r="B20" s="6">
        <f t="shared" si="6"/>
        <v>472.342990946304</v>
      </c>
      <c r="C20" s="5">
        <f t="shared" si="0"/>
        <v>0.16</v>
      </c>
      <c r="D20" s="6">
        <f t="shared" si="1"/>
        <v>75.5748785514086</v>
      </c>
      <c r="E20" s="5">
        <f t="shared" si="2"/>
        <v>0.33</v>
      </c>
      <c r="F20" s="6">
        <f t="shared" si="3"/>
        <v>24.9397099219649</v>
      </c>
      <c r="G20" s="6">
        <f t="shared" si="4"/>
        <v>522.978159575748</v>
      </c>
      <c r="H20" s="6">
        <f t="shared" si="5"/>
        <v>16.978935234784</v>
      </c>
    </row>
    <row r="21" spans="1:8">
      <c r="A21" s="7">
        <v>5</v>
      </c>
      <c r="B21" s="6">
        <f t="shared" si="6"/>
        <v>522.978159575748</v>
      </c>
      <c r="C21" s="5">
        <f t="shared" si="0"/>
        <v>0.16</v>
      </c>
      <c r="D21" s="6">
        <f t="shared" si="1"/>
        <v>83.6765055321196</v>
      </c>
      <c r="E21" s="5">
        <f t="shared" si="2"/>
        <v>0.33</v>
      </c>
      <c r="F21" s="6">
        <f t="shared" si="3"/>
        <v>27.6132468255995</v>
      </c>
      <c r="G21" s="6">
        <f t="shared" si="4"/>
        <v>579.041418282268</v>
      </c>
      <c r="H21" s="6">
        <f t="shared" si="5"/>
        <v>17.0762023444314</v>
      </c>
    </row>
    <row r="22" spans="1:8">
      <c r="A22" s="7">
        <v>6</v>
      </c>
      <c r="B22" s="6">
        <f t="shared" si="6"/>
        <v>579.041418282268</v>
      </c>
      <c r="C22" s="5">
        <f t="shared" si="0"/>
        <v>0.14</v>
      </c>
      <c r="D22" s="6">
        <f t="shared" si="1"/>
        <v>81.0657985595175</v>
      </c>
      <c r="E22" s="5">
        <f t="shared" si="2"/>
        <v>0.607142857142857</v>
      </c>
      <c r="F22" s="6">
        <f t="shared" si="3"/>
        <v>49.2185205539928</v>
      </c>
      <c r="G22" s="6">
        <f t="shared" si="4"/>
        <v>610.888696287793</v>
      </c>
      <c r="H22" s="6">
        <f t="shared" si="5"/>
        <v>27.6475808094251</v>
      </c>
    </row>
    <row r="23" spans="1:8">
      <c r="A23" s="7">
        <v>7</v>
      </c>
      <c r="B23" s="6">
        <f t="shared" si="6"/>
        <v>610.888696287793</v>
      </c>
      <c r="C23" s="5">
        <f t="shared" si="0"/>
        <v>0.14</v>
      </c>
      <c r="D23" s="6">
        <f t="shared" si="1"/>
        <v>85.524417480291</v>
      </c>
      <c r="E23" s="5">
        <f t="shared" si="2"/>
        <v>0.607142857142857</v>
      </c>
      <c r="F23" s="6">
        <f t="shared" si="3"/>
        <v>51.9255391844624</v>
      </c>
      <c r="G23" s="6">
        <f t="shared" si="4"/>
        <v>644.487574583621</v>
      </c>
      <c r="H23" s="6">
        <f t="shared" si="5"/>
        <v>26.495026560742</v>
      </c>
    </row>
    <row r="24" spans="1:8">
      <c r="A24" s="7">
        <v>8</v>
      </c>
      <c r="B24" s="6">
        <f t="shared" si="6"/>
        <v>644.487574583621</v>
      </c>
      <c r="C24" s="5">
        <f t="shared" si="0"/>
        <v>0.14</v>
      </c>
      <c r="D24" s="6">
        <f t="shared" si="1"/>
        <v>90.228260441707</v>
      </c>
      <c r="E24" s="5">
        <f t="shared" si="2"/>
        <v>0.607142857142857</v>
      </c>
      <c r="F24" s="6">
        <f t="shared" si="3"/>
        <v>54.7814438396078</v>
      </c>
      <c r="G24" s="6">
        <f t="shared" si="4"/>
        <v>679.93439118572</v>
      </c>
      <c r="H24" s="6">
        <f t="shared" si="5"/>
        <v>25.3905192390329</v>
      </c>
    </row>
    <row r="25" spans="1:8">
      <c r="A25" s="7">
        <v>9</v>
      </c>
      <c r="B25" s="6">
        <f t="shared" si="6"/>
        <v>679.93439118572</v>
      </c>
      <c r="C25" s="5">
        <f t="shared" si="0"/>
        <v>0.14</v>
      </c>
      <c r="D25" s="6">
        <f t="shared" si="1"/>
        <v>95.1908147660009</v>
      </c>
      <c r="E25" s="5">
        <f t="shared" si="2"/>
        <v>0.607142857142857</v>
      </c>
      <c r="F25" s="6">
        <f t="shared" si="3"/>
        <v>57.7944232507862</v>
      </c>
      <c r="G25" s="6">
        <f t="shared" si="4"/>
        <v>717.330782700935</v>
      </c>
      <c r="H25" s="6">
        <f t="shared" si="5"/>
        <v>24.3320558954611</v>
      </c>
    </row>
    <row r="26" spans="1:8">
      <c r="A26" s="7">
        <v>10</v>
      </c>
      <c r="B26" s="6">
        <f t="shared" si="6"/>
        <v>717.330782700935</v>
      </c>
      <c r="C26" s="5">
        <f t="shared" si="0"/>
        <v>0.14</v>
      </c>
      <c r="D26" s="6">
        <f t="shared" si="1"/>
        <v>100.426309578131</v>
      </c>
      <c r="E26" s="5">
        <f t="shared" si="2"/>
        <v>0.607142857142857</v>
      </c>
      <c r="F26" s="6">
        <f t="shared" si="3"/>
        <v>60.9731165295795</v>
      </c>
      <c r="G26" s="6">
        <f t="shared" si="4"/>
        <v>756.783975749486</v>
      </c>
      <c r="H26" s="6">
        <f t="shared" si="5"/>
        <v>23.3177170788096</v>
      </c>
    </row>
    <row r="28" spans="1:8">
      <c r="A28" s="1" t="s">
        <v>103</v>
      </c>
      <c r="B28" s="1" t="s">
        <v>40</v>
      </c>
    </row>
    <row r="29" spans="1:8">
      <c r="A29" s="7" t="s">
        <v>104</v>
      </c>
      <c r="B29" s="6">
        <f>SUM(H17:H26)</f>
        <v>211.596764842919</v>
      </c>
    </row>
    <row r="30" spans="1:8">
      <c r="A30" s="7" t="s">
        <v>128</v>
      </c>
      <c r="B30" s="19">
        <f>($B$10-$B$11)/($B$6-$B$11)</f>
        <v>1.85212139805967</v>
      </c>
    </row>
    <row r="31" spans="1:8">
      <c r="A31" s="7" t="s">
        <v>129</v>
      </c>
      <c r="B31" s="6">
        <f>G26*B30</f>
        <v>1401.6557951943</v>
      </c>
    </row>
    <row r="32" spans="1:8">
      <c r="A32" s="7" t="s">
        <v>106</v>
      </c>
      <c r="B32" s="6">
        <f>B31/(1+$B$6)^10</f>
        <v>536.029895377893</v>
      </c>
    </row>
    <row r="33" spans="1:2">
      <c r="A33" s="10" t="s">
        <v>107</v>
      </c>
      <c r="B33" s="17">
        <f>B29+B32</f>
        <v>747.626660220812</v>
      </c>
    </row>
    <row r="34" spans="1:2">
      <c r="A34" s="7" t="s">
        <v>98</v>
      </c>
      <c r="B34" s="6">
        <f>$B$12</f>
        <v>1759.8</v>
      </c>
    </row>
    <row r="35" spans="1:2">
      <c r="A35" s="7" t="s">
        <v>108</v>
      </c>
      <c r="B35" s="5">
        <f>B33/B34-1</f>
        <v>-0.575163848039089</v>
      </c>
    </row>
    <row r="36" spans="1:2">
      <c r="A36" s="7" t="s">
        <v>130</v>
      </c>
      <c r="B36" s="19">
        <f>B33/$B$5</f>
        <v>2.14835247189888</v>
      </c>
    </row>
    <row r="37" spans="1:2">
      <c r="A37" s="7" t="s">
        <v>131</v>
      </c>
      <c r="B37" s="19">
        <f>B34/$B$5</f>
        <v>5.05689655172414</v>
      </c>
    </row>
    <row r="38" spans="1:2">
      <c r="A38" s="7" t="s">
        <v>132</v>
      </c>
      <c r="B38" s="5">
        <f>($B$6*B37-$B$13)/(B37-1)</f>
        <v>0.0863238876158096</v>
      </c>
    </row>
    <row r="39" spans="1:2">
      <c r="A39" s="7" t="s">
        <v>133</v>
      </c>
      <c r="B39" s="6">
        <f>$B$9*$B$8*$B$5/($B$6-$B$8*(1-$B$9))*(1-((1+$B$8*(1-$B$9))/(1+$B$6))^$B$7)+$B$5*(1+$B$8*(1-$B$9))^$B$7*($B$10-$B$11)/($B$6-$B$11)/(1+$B$6)^$B$7</f>
        <v>747.626660220812</v>
      </c>
    </row>
    <row r="40" spans="1:2">
      <c r="A40" s="7" t="s">
        <v>112</v>
      </c>
      <c r="B40" s="20">
        <f>ROUND(B33-B39,6)</f>
        <v>0</v>
      </c>
    </row>
    <row r="44" ht="15" spans="1:2">
      <c r="A44" s="22" t="s">
        <v>41</v>
      </c>
    </row>
    <row r="45" spans="1:2">
      <c r="A45" s="7" t="s">
        <v>116</v>
      </c>
      <c r="B45" s="3">
        <f>Inputs!D22</f>
        <v>527</v>
      </c>
    </row>
    <row r="46" spans="1:2">
      <c r="A46" s="7" t="s">
        <v>94</v>
      </c>
      <c r="B46" s="4">
        <f>Inputs!D15</f>
        <v>0.14672924</v>
      </c>
    </row>
    <row r="47" spans="1:2">
      <c r="A47" s="7" t="s">
        <v>96</v>
      </c>
      <c r="B47" s="23">
        <f>Inputs!D26</f>
        <v>5</v>
      </c>
    </row>
    <row r="48" spans="1:2">
      <c r="A48" s="7" t="s">
        <v>117</v>
      </c>
      <c r="B48" s="4">
        <f>Inputs!D28</f>
        <v>0.16</v>
      </c>
    </row>
    <row r="49" spans="1:8">
      <c r="A49" s="7" t="s">
        <v>118</v>
      </c>
      <c r="B49" s="4">
        <f>Inputs!D29</f>
        <v>0.16</v>
      </c>
    </row>
    <row r="50" spans="1:8">
      <c r="A50" s="7" t="s">
        <v>119</v>
      </c>
      <c r="B50" s="4">
        <f>Inputs!D30</f>
        <v>0.15</v>
      </c>
    </row>
    <row r="51" spans="1:8">
      <c r="A51" s="7" t="s">
        <v>97</v>
      </c>
      <c r="B51" s="4">
        <f>Inputs!D31</f>
        <v>0.055</v>
      </c>
    </row>
    <row r="52" spans="1:8">
      <c r="A52" s="7" t="s">
        <v>98</v>
      </c>
      <c r="B52" s="3">
        <f>Inputs!D13</f>
        <v>1350.5</v>
      </c>
    </row>
    <row r="53" spans="1:8">
      <c r="A53" s="7" t="s">
        <v>72</v>
      </c>
      <c r="B53" s="4">
        <f>Inputs!D23</f>
        <v>0.159</v>
      </c>
    </row>
    <row r="54" spans="1:8">
      <c r="A54" s="7" t="s">
        <v>120</v>
      </c>
      <c r="B54" s="5">
        <f>1-$B$51/$B$50</f>
        <v>0.633333333333333</v>
      </c>
    </row>
    <row r="56" spans="1:8">
      <c r="A56" s="1" t="s">
        <v>99</v>
      </c>
      <c r="B56" s="1" t="s">
        <v>121</v>
      </c>
      <c r="C56" s="1" t="s">
        <v>122</v>
      </c>
      <c r="D56" s="1" t="s">
        <v>123</v>
      </c>
      <c r="E56" s="1" t="s">
        <v>124</v>
      </c>
      <c r="F56" s="1" t="s">
        <v>125</v>
      </c>
      <c r="G56" s="1" t="s">
        <v>126</v>
      </c>
      <c r="H56" s="1" t="s">
        <v>127</v>
      </c>
    </row>
    <row r="57" spans="1:8">
      <c r="A57" s="7">
        <v>1</v>
      </c>
      <c r="B57" s="6">
        <f>$B$45</f>
        <v>527</v>
      </c>
      <c r="C57" s="5">
        <f t="shared" ref="C57:C66" si="7">IF(A57&lt;=$B$47,$B$48,$B$50)</f>
        <v>0.16</v>
      </c>
      <c r="D57" s="6">
        <f t="shared" ref="D57:D66" si="8">B57*C57</f>
        <v>84.32</v>
      </c>
      <c r="E57" s="5">
        <f t="shared" ref="E57:E66" si="9">IF(A57&lt;=$B$47,$B$49,$B$54)</f>
        <v>0.16</v>
      </c>
      <c r="F57" s="6">
        <f t="shared" ref="F57:F66" si="10">D57*E57</f>
        <v>13.4912</v>
      </c>
      <c r="G57" s="6">
        <f t="shared" ref="G57:G66" si="11">B57+D57-F57</f>
        <v>597.8288</v>
      </c>
      <c r="H57" s="6">
        <f t="shared" ref="H57:H66" si="12">F57/(1+$B$46)^A57</f>
        <v>11.7649393853426</v>
      </c>
    </row>
    <row r="58" spans="1:8">
      <c r="A58" s="7">
        <v>2</v>
      </c>
      <c r="B58" s="6">
        <f t="shared" ref="B58:B66" si="13">G57</f>
        <v>597.8288</v>
      </c>
      <c r="C58" s="5">
        <f t="shared" si="7"/>
        <v>0.16</v>
      </c>
      <c r="D58" s="6">
        <f t="shared" si="8"/>
        <v>95.652608</v>
      </c>
      <c r="E58" s="5">
        <f t="shared" si="9"/>
        <v>0.16</v>
      </c>
      <c r="F58" s="6">
        <f t="shared" si="10"/>
        <v>15.30441728</v>
      </c>
      <c r="G58" s="6">
        <f t="shared" si="11"/>
        <v>678.17699072</v>
      </c>
      <c r="H58" s="6">
        <f t="shared" si="12"/>
        <v>11.6384467869091</v>
      </c>
    </row>
    <row r="59" spans="1:8">
      <c r="A59" s="7">
        <v>3</v>
      </c>
      <c r="B59" s="6">
        <f t="shared" si="13"/>
        <v>678.17699072</v>
      </c>
      <c r="C59" s="5">
        <f t="shared" si="7"/>
        <v>0.16</v>
      </c>
      <c r="D59" s="6">
        <f t="shared" si="8"/>
        <v>108.5083185152</v>
      </c>
      <c r="E59" s="5">
        <f t="shared" si="9"/>
        <v>0.16</v>
      </c>
      <c r="F59" s="6">
        <f t="shared" si="10"/>
        <v>17.361330962432</v>
      </c>
      <c r="G59" s="6">
        <f t="shared" si="11"/>
        <v>769.323978272768</v>
      </c>
      <c r="H59" s="6">
        <f t="shared" si="12"/>
        <v>11.5133141935664</v>
      </c>
    </row>
    <row r="60" spans="1:8">
      <c r="A60" s="7">
        <v>4</v>
      </c>
      <c r="B60" s="6">
        <f t="shared" si="13"/>
        <v>769.323978272768</v>
      </c>
      <c r="C60" s="5">
        <f t="shared" si="7"/>
        <v>0.16</v>
      </c>
      <c r="D60" s="6">
        <f t="shared" si="8"/>
        <v>123.091836523643</v>
      </c>
      <c r="E60" s="5">
        <f t="shared" si="9"/>
        <v>0.16</v>
      </c>
      <c r="F60" s="6">
        <f t="shared" si="10"/>
        <v>19.6946938437829</v>
      </c>
      <c r="G60" s="6">
        <f t="shared" si="11"/>
        <v>872.721120952628</v>
      </c>
      <c r="H60" s="6">
        <f t="shared" si="12"/>
        <v>11.3895269830058</v>
      </c>
    </row>
    <row r="61" spans="1:8">
      <c r="A61" s="7">
        <v>5</v>
      </c>
      <c r="B61" s="6">
        <f t="shared" si="13"/>
        <v>872.721120952628</v>
      </c>
      <c r="C61" s="5">
        <f t="shared" si="7"/>
        <v>0.16</v>
      </c>
      <c r="D61" s="6">
        <f t="shared" si="8"/>
        <v>139.63537935242</v>
      </c>
      <c r="E61" s="5">
        <f t="shared" si="9"/>
        <v>0.16</v>
      </c>
      <c r="F61" s="6">
        <f t="shared" si="10"/>
        <v>22.3416606963873</v>
      </c>
      <c r="G61" s="6">
        <f t="shared" si="11"/>
        <v>990.014839608661</v>
      </c>
      <c r="H61" s="6">
        <f t="shared" si="12"/>
        <v>11.2670706901324</v>
      </c>
    </row>
    <row r="62" spans="1:8">
      <c r="A62" s="7">
        <v>6</v>
      </c>
      <c r="B62" s="6">
        <f t="shared" si="13"/>
        <v>990.014839608661</v>
      </c>
      <c r="C62" s="5">
        <f t="shared" si="7"/>
        <v>0.15</v>
      </c>
      <c r="D62" s="6">
        <f t="shared" si="8"/>
        <v>148.502225941299</v>
      </c>
      <c r="E62" s="5">
        <f t="shared" si="9"/>
        <v>0.633333333333333</v>
      </c>
      <c r="F62" s="6">
        <f t="shared" si="10"/>
        <v>94.0514097628228</v>
      </c>
      <c r="G62" s="6">
        <f t="shared" si="11"/>
        <v>1044.46565578714</v>
      </c>
      <c r="H62" s="6">
        <f t="shared" si="12"/>
        <v>41.361853340259</v>
      </c>
    </row>
    <row r="63" spans="1:8">
      <c r="A63" s="7">
        <v>7</v>
      </c>
      <c r="B63" s="6">
        <f t="shared" si="13"/>
        <v>1044.46565578714</v>
      </c>
      <c r="C63" s="5">
        <f t="shared" si="7"/>
        <v>0.15</v>
      </c>
      <c r="D63" s="6">
        <f t="shared" si="8"/>
        <v>156.669848368071</v>
      </c>
      <c r="E63" s="5">
        <f t="shared" si="9"/>
        <v>0.633333333333333</v>
      </c>
      <c r="F63" s="6">
        <f t="shared" si="10"/>
        <v>99.2242372997781</v>
      </c>
      <c r="G63" s="6">
        <f t="shared" si="11"/>
        <v>1101.91126685543</v>
      </c>
      <c r="H63" s="6">
        <f t="shared" si="12"/>
        <v>38.0532332758631</v>
      </c>
    </row>
    <row r="64" spans="1:8">
      <c r="A64" s="7">
        <v>8</v>
      </c>
      <c r="B64" s="6">
        <f t="shared" si="13"/>
        <v>1101.91126685543</v>
      </c>
      <c r="C64" s="5">
        <f t="shared" si="7"/>
        <v>0.15</v>
      </c>
      <c r="D64" s="6">
        <f t="shared" si="8"/>
        <v>165.286690028315</v>
      </c>
      <c r="E64" s="5">
        <f t="shared" si="9"/>
        <v>0.633333333333333</v>
      </c>
      <c r="F64" s="6">
        <f t="shared" si="10"/>
        <v>104.681570351266</v>
      </c>
      <c r="G64" s="6">
        <f t="shared" si="11"/>
        <v>1162.51638653248</v>
      </c>
      <c r="H64" s="6">
        <f t="shared" si="12"/>
        <v>35.0092765629972</v>
      </c>
    </row>
    <row r="65" spans="1:8">
      <c r="A65" s="7">
        <v>9</v>
      </c>
      <c r="B65" s="6">
        <f t="shared" si="13"/>
        <v>1162.51638653248</v>
      </c>
      <c r="C65" s="5">
        <f t="shared" si="7"/>
        <v>0.15</v>
      </c>
      <c r="D65" s="6">
        <f t="shared" si="8"/>
        <v>174.377457979872</v>
      </c>
      <c r="E65" s="5">
        <f t="shared" si="9"/>
        <v>0.633333333333333</v>
      </c>
      <c r="F65" s="6">
        <f t="shared" si="10"/>
        <v>110.439056720585</v>
      </c>
      <c r="G65" s="6">
        <f t="shared" si="11"/>
        <v>1226.45478779177</v>
      </c>
      <c r="H65" s="6">
        <f t="shared" si="12"/>
        <v>32.2088122336203</v>
      </c>
    </row>
    <row r="66" spans="1:8">
      <c r="A66" s="7">
        <v>10</v>
      </c>
      <c r="B66" s="6">
        <f t="shared" si="13"/>
        <v>1226.45478779177</v>
      </c>
      <c r="C66" s="5">
        <f t="shared" si="7"/>
        <v>0.15</v>
      </c>
      <c r="D66" s="6">
        <f t="shared" si="8"/>
        <v>183.968218168765</v>
      </c>
      <c r="E66" s="5">
        <f t="shared" si="9"/>
        <v>0.633333333333333</v>
      </c>
      <c r="F66" s="6">
        <f t="shared" si="10"/>
        <v>116.513204840218</v>
      </c>
      <c r="G66" s="6">
        <f t="shared" si="11"/>
        <v>1293.90980112031</v>
      </c>
      <c r="H66" s="6">
        <f t="shared" si="12"/>
        <v>29.6323628291447</v>
      </c>
    </row>
    <row r="68" spans="1:8">
      <c r="A68" s="1" t="s">
        <v>103</v>
      </c>
      <c r="B68" s="1" t="s">
        <v>41</v>
      </c>
    </row>
    <row r="69" spans="1:8">
      <c r="A69" s="7" t="s">
        <v>104</v>
      </c>
      <c r="B69" s="6">
        <f>SUM(H57:H66)</f>
        <v>233.838836280841</v>
      </c>
    </row>
    <row r="70" spans="1:8">
      <c r="A70" s="7" t="s">
        <v>128</v>
      </c>
      <c r="B70" s="19">
        <f>($B$50-$B$51)/($B$46-$B$51)</f>
        <v>1.03565667828492</v>
      </c>
    </row>
    <row r="71" spans="1:8">
      <c r="A71" s="7" t="s">
        <v>129</v>
      </c>
      <c r="B71" s="6">
        <f>G66*B70</f>
        <v>1340.04632662856</v>
      </c>
    </row>
    <row r="72" spans="1:8">
      <c r="A72" s="7" t="s">
        <v>106</v>
      </c>
      <c r="B72" s="6">
        <f>B71/(1+$B$46)^10</f>
        <v>340.808915289691</v>
      </c>
    </row>
    <row r="73" spans="1:8">
      <c r="A73" s="10" t="s">
        <v>107</v>
      </c>
      <c r="B73" s="17">
        <f>B69+B72</f>
        <v>574.647751570531</v>
      </c>
    </row>
    <row r="74" spans="1:8">
      <c r="A74" s="7" t="s">
        <v>98</v>
      </c>
      <c r="B74" s="6">
        <f>$B$52</f>
        <v>1350.5</v>
      </c>
    </row>
    <row r="75" spans="1:8">
      <c r="A75" s="7" t="s">
        <v>108</v>
      </c>
      <c r="B75" s="5">
        <f>B73/B74-1</f>
        <v>-0.574492594172135</v>
      </c>
    </row>
    <row r="76" spans="1:8">
      <c r="A76" s="7" t="s">
        <v>130</v>
      </c>
      <c r="B76" s="19">
        <f>B73/$B$45</f>
        <v>1.09041319083592</v>
      </c>
    </row>
    <row r="77" spans="1:8">
      <c r="A77" s="7" t="s">
        <v>131</v>
      </c>
      <c r="B77" s="19">
        <f>B74/$B$45</f>
        <v>2.56261859582543</v>
      </c>
    </row>
    <row r="78" spans="1:8">
      <c r="A78" s="7" t="s">
        <v>132</v>
      </c>
      <c r="B78" s="5">
        <f>($B$46*B77-$B$53)/(B77-1)</f>
        <v>0.13887654962963</v>
      </c>
    </row>
    <row r="79" spans="1:8">
      <c r="A79" s="7" t="s">
        <v>133</v>
      </c>
      <c r="B79" s="6">
        <f>$B$49*$B$48*$B$45/($B$46-$B$48*(1-$B$49))*(1-((1+$B$48*(1-$B$49))/(1+$B$46))^$B$47)+$B$45*(1+$B$48*(1-$B$49))^$B$47*($B$50-$B$51)/($B$46-$B$51)/(1+$B$46)^$B$47</f>
        <v>574.647751570531</v>
      </c>
    </row>
    <row r="80" spans="1:8">
      <c r="A80" s="7" t="s">
        <v>112</v>
      </c>
      <c r="B80" s="20">
        <f>ROUND(B73-B79,6)</f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A1" sqref="A1"/>
    </sheetView>
  </sheetViews>
  <sheetFormatPr defaultColWidth="9" defaultRowHeight="14.25" outlineLevelCol="6"/>
  <cols>
    <col min="1" max="1" width="44" customWidth="1"/>
    <col min="2" max="3" width="14" customWidth="1"/>
    <col min="4" max="4" width="16" customWidth="1"/>
    <col min="5" max="6" width="10" customWidth="1"/>
    <col min="7" max="7" width="18" customWidth="1"/>
  </cols>
  <sheetData>
    <row r="1" ht="17.6" spans="1:3">
      <c r="A1" s="8" t="s">
        <v>134</v>
      </c>
    </row>
    <row r="2" spans="1:3">
      <c r="A2" s="9" t="s">
        <v>135</v>
      </c>
    </row>
    <row r="4" spans="1:3">
      <c r="A4" s="10" t="s">
        <v>136</v>
      </c>
    </row>
    <row r="5" spans="1:3">
      <c r="A5" s="1" t="s">
        <v>137</v>
      </c>
      <c r="B5" s="1" t="s">
        <v>138</v>
      </c>
      <c r="C5" s="1" t="s">
        <v>53</v>
      </c>
    </row>
    <row r="6" spans="1:3">
      <c r="A6" s="7" t="s">
        <v>139</v>
      </c>
      <c r="B6" s="14">
        <v>68</v>
      </c>
      <c r="C6" s="15">
        <v>1308</v>
      </c>
    </row>
    <row r="7" spans="1:3">
      <c r="A7" s="7" t="s">
        <v>140</v>
      </c>
      <c r="B7" s="14">
        <v>44.2</v>
      </c>
      <c r="C7" s="15">
        <v>4778</v>
      </c>
    </row>
    <row r="8" spans="1:3">
      <c r="A8" s="7" t="s">
        <v>141</v>
      </c>
      <c r="B8" s="14">
        <v>33.5</v>
      </c>
      <c r="C8" s="15">
        <v>374</v>
      </c>
    </row>
    <row r="9" spans="1:3">
      <c r="A9" s="10" t="s">
        <v>142</v>
      </c>
      <c r="B9" s="16">
        <f>MEDIAN(B6:B8)</f>
        <v>44.2</v>
      </c>
    </row>
    <row r="10" spans="1:3">
      <c r="A10" s="7" t="s">
        <v>143</v>
      </c>
      <c r="B10" s="3">
        <f>Inputs!B17</f>
        <v>47.618925831202</v>
      </c>
    </row>
    <row r="11" spans="1:3">
      <c r="A11" s="10" t="s">
        <v>144</v>
      </c>
      <c r="B11" s="17">
        <f>B9*B10</f>
        <v>2104.75652173913</v>
      </c>
    </row>
    <row r="13" spans="1:3">
      <c r="A13" s="10" t="s">
        <v>145</v>
      </c>
    </row>
    <row r="14" spans="1:3">
      <c r="A14" s="1" t="s">
        <v>137</v>
      </c>
      <c r="B14" s="1" t="s">
        <v>138</v>
      </c>
      <c r="C14" s="1" t="s">
        <v>53</v>
      </c>
    </row>
    <row r="15" spans="1:3">
      <c r="A15" s="7" t="s">
        <v>146</v>
      </c>
      <c r="B15" s="14">
        <v>29.9</v>
      </c>
      <c r="C15" s="15">
        <v>1325</v>
      </c>
    </row>
    <row r="16" spans="1:3">
      <c r="A16" s="7" t="s">
        <v>147</v>
      </c>
      <c r="B16" s="14">
        <v>32.3</v>
      </c>
      <c r="C16" s="15">
        <v>1244</v>
      </c>
    </row>
    <row r="17" spans="1:7">
      <c r="A17" s="7" t="s">
        <v>148</v>
      </c>
      <c r="B17" s="14">
        <v>82.2</v>
      </c>
      <c r="C17" s="15">
        <v>9224</v>
      </c>
    </row>
    <row r="18" spans="1:7">
      <c r="A18" s="10" t="s">
        <v>142</v>
      </c>
      <c r="B18" s="16">
        <f>MEDIAN(B15:B17)</f>
        <v>32.3</v>
      </c>
    </row>
    <row r="19" spans="1:7">
      <c r="A19" s="7" t="s">
        <v>149</v>
      </c>
      <c r="B19" s="3">
        <f>Inputs!C17</f>
        <v>52.688622754491</v>
      </c>
    </row>
    <row r="20" spans="1:7">
      <c r="A20" s="10" t="s">
        <v>150</v>
      </c>
      <c r="B20" s="17">
        <f>B18*B19</f>
        <v>1701.84251497006</v>
      </c>
    </row>
    <row r="22" spans="1:7">
      <c r="A22" s="10" t="s">
        <v>151</v>
      </c>
    </row>
    <row r="23" spans="1:7">
      <c r="A23" s="1" t="s">
        <v>137</v>
      </c>
      <c r="B23" s="1" t="s">
        <v>138</v>
      </c>
      <c r="C23" s="1" t="s">
        <v>53</v>
      </c>
      <c r="D23" s="1" t="s">
        <v>152</v>
      </c>
      <c r="E23" s="1" t="s">
        <v>122</v>
      </c>
      <c r="F23" s="1" t="s">
        <v>153</v>
      </c>
      <c r="G23" s="1" t="s">
        <v>154</v>
      </c>
    </row>
    <row r="24" spans="1:7">
      <c r="A24" s="7" t="s">
        <v>155</v>
      </c>
      <c r="B24" s="14">
        <v>14.1</v>
      </c>
      <c r="C24" s="15">
        <v>721</v>
      </c>
      <c r="D24" s="15">
        <v>390</v>
      </c>
      <c r="E24" s="18">
        <v>0.136</v>
      </c>
      <c r="F24" s="19">
        <f>C24/D24</f>
        <v>1.84871794871795</v>
      </c>
      <c r="G24" s="20">
        <f>F24/E24</f>
        <v>13.5935143288084</v>
      </c>
    </row>
    <row r="25" spans="1:7">
      <c r="A25" s="7" t="s">
        <v>156</v>
      </c>
      <c r="B25" s="14">
        <v>20.8</v>
      </c>
      <c r="C25" s="15">
        <v>418</v>
      </c>
      <c r="D25" s="15">
        <v>182</v>
      </c>
      <c r="E25" s="18">
        <v>0.114</v>
      </c>
      <c r="F25" s="19">
        <f>C25/D25</f>
        <v>2.2967032967033</v>
      </c>
      <c r="G25" s="20">
        <f>F25/E25</f>
        <v>20.1465201465201</v>
      </c>
    </row>
    <row r="26" spans="1:7">
      <c r="A26" s="7" t="s">
        <v>157</v>
      </c>
      <c r="B26" s="14">
        <v>13.6</v>
      </c>
      <c r="C26" s="15">
        <v>1217</v>
      </c>
      <c r="D26" s="15">
        <v>712</v>
      </c>
      <c r="E26" s="18">
        <v>0.131</v>
      </c>
      <c r="F26" s="19">
        <f>C26/D26</f>
        <v>1.70926966292135</v>
      </c>
      <c r="G26" s="20">
        <f>F26/E26</f>
        <v>13.0478600223004</v>
      </c>
    </row>
    <row r="27" spans="1:7">
      <c r="A27" s="10" t="s">
        <v>158</v>
      </c>
      <c r="B27" s="16">
        <f>MEDIAN(B24:B26)</f>
        <v>14.1</v>
      </c>
      <c r="F27" s="21">
        <f>MEDIAN(F24:F26)</f>
        <v>1.84871794871795</v>
      </c>
      <c r="G27" s="16">
        <f>MEDIAN(G24:G26)</f>
        <v>13.5935143288084</v>
      </c>
    </row>
    <row r="28" spans="1:7">
      <c r="A28" s="7" t="s">
        <v>159</v>
      </c>
      <c r="B28" s="4">
        <f>Inputs!D23</f>
        <v>0.159</v>
      </c>
    </row>
    <row r="29" spans="1:7">
      <c r="A29" s="7" t="s">
        <v>160</v>
      </c>
      <c r="B29" s="3">
        <f>Inputs!D22</f>
        <v>527</v>
      </c>
    </row>
    <row r="30" spans="1:7">
      <c r="A30" s="7" t="s">
        <v>161</v>
      </c>
      <c r="B30" s="6">
        <f>F27*B29</f>
        <v>974.274358974359</v>
      </c>
    </row>
    <row r="31" spans="1:7">
      <c r="A31" s="10" t="s">
        <v>162</v>
      </c>
      <c r="B31" s="17">
        <f>G27*B28*B29</f>
        <v>1139.04134615385</v>
      </c>
    </row>
    <row r="32" spans="1:7">
      <c r="A32" s="9" t="s">
        <v>163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selection activeCell="A1" sqref="A1"/>
    </sheetView>
  </sheetViews>
  <sheetFormatPr defaultColWidth="9" defaultRowHeight="14.25" outlineLevelCol="5"/>
  <cols>
    <col min="1" max="1" width="40" customWidth="1"/>
    <col min="2" max="6" width="12" customWidth="1"/>
  </cols>
  <sheetData>
    <row r="1" ht="17.6" spans="1:6">
      <c r="A1" s="8" t="s">
        <v>164</v>
      </c>
    </row>
    <row r="2" spans="1:6">
      <c r="A2" s="9" t="s">
        <v>165</v>
      </c>
    </row>
    <row r="4" spans="1:6">
      <c r="A4" s="10" t="s">
        <v>166</v>
      </c>
    </row>
    <row r="5" spans="1:6">
      <c r="A5" s="10" t="s">
        <v>167</v>
      </c>
      <c r="B5" s="11">
        <f>Inputs!$B$31+(-0.015)</f>
        <v>0.04</v>
      </c>
      <c r="C5" s="11">
        <f>Inputs!$B$31+(-0.01)</f>
        <v>0.045</v>
      </c>
      <c r="D5" s="11">
        <f>Inputs!$B$31+(-0.005)</f>
        <v>0.05</v>
      </c>
      <c r="E5" s="11">
        <f>Inputs!$B$31+(0)</f>
        <v>0.055</v>
      </c>
      <c r="F5" s="11">
        <f>Inputs!$B$31+(0.005)</f>
        <v>0.06</v>
      </c>
    </row>
    <row r="6" spans="1:6">
      <c r="A6" s="11">
        <f>Inputs!$B$15+(-0.02)</f>
        <v>0.07779228</v>
      </c>
      <c r="B6" s="12">
        <f>IF(B$5&lt;$A6,Inputs!$B$20*(1+Inputs!$B$27)/($A6-Inputs!$B$27)*(1-((1+Inputs!$B$27)/(1+$A6))^Inputs!$B$26)+Inputs!$B$20*(1+Inputs!$B$27)^Inputs!$B$26*(1+B$5)/(($A6-B$5)*(1+$A6)^Inputs!$B$26),"")</f>
        <v>1288.66830514103</v>
      </c>
      <c r="C6" s="12">
        <f>IF(C$5&lt;$A6,Inputs!$B$20*(1+Inputs!$B$27)/($A6-Inputs!$B$27)*(1-((1+Inputs!$B$27)/(1+$A6))^Inputs!$B$26)+Inputs!$B$20*(1+Inputs!$B$27)^Inputs!$B$26*(1+C$5)/(($A6-C$5)*(1+$A6)^Inputs!$B$26),"")</f>
        <v>1460.60072205549</v>
      </c>
      <c r="D6" s="12">
        <f>IF(D$5&lt;$A6,Inputs!$B$20*(1+Inputs!$B$27)/($A6-Inputs!$B$27)*(1-((1+Inputs!$B$27)/(1+$A6))^Inputs!$B$26)+Inputs!$B$20*(1+Inputs!$B$27)^Inputs!$B$26*(1+D$5)/(($A6-D$5)*(1+$A6)^Inputs!$B$26),"")</f>
        <v>1694.39651142967</v>
      </c>
      <c r="E6" s="12">
        <f>IF(E$5&lt;$A6,Inputs!$B$20*(1+Inputs!$B$27)/($A6-Inputs!$B$27)*(1-((1+Inputs!$B$27)/(1+$A6))^Inputs!$B$26)+Inputs!$B$20*(1+Inputs!$B$27)^Inputs!$B$26*(1+E$5)/(($A6-E$5)*(1+$A6)^Inputs!$B$26),"")</f>
        <v>2030.76904581321</v>
      </c>
      <c r="F6" s="12">
        <f>IF(F$5&lt;$A6,Inputs!$B$20*(1+Inputs!$B$27)/($A6-Inputs!$B$27)*(1-((1+Inputs!$B$27)/(1+$A6))^Inputs!$B$26)+Inputs!$B$20*(1+Inputs!$B$27)^Inputs!$B$26*(1+F$5)/(($A6-F$5)*(1+$A6)^Inputs!$B$26),"")</f>
        <v>2556.19690890309</v>
      </c>
    </row>
    <row r="7" spans="1:6">
      <c r="A7" s="11">
        <f>Inputs!$B$15+(-0.01)</f>
        <v>0.08779228</v>
      </c>
      <c r="B7" s="12">
        <f>IF(B$5&lt;$A7,Inputs!$B$20*(1+Inputs!$B$27)/($A7-Inputs!$B$27)*(1-((1+Inputs!$B$27)/(1+$A7))^Inputs!$B$26)+Inputs!$B$20*(1+Inputs!$B$27)^Inputs!$B$26*(1+B$5)/(($A7-B$5)*(1+$A7)^Inputs!$B$26),"")</f>
        <v>1016.73494202558</v>
      </c>
      <c r="C7" s="12">
        <f>IF(C$5&lt;$A7,Inputs!$B$20*(1+Inputs!$B$27)/($A7-Inputs!$B$27)*(1-((1+Inputs!$B$27)/(1+$A7))^Inputs!$B$26)+Inputs!$B$20*(1+Inputs!$B$27)^Inputs!$B$26*(1+C$5)/(($A7-C$5)*(1+$A7)^Inputs!$B$26),"")</f>
        <v>1117.14233336539</v>
      </c>
      <c r="D7" s="12">
        <f>IF(D$5&lt;$A7,Inputs!$B$20*(1+Inputs!$B$27)/($A7-Inputs!$B$27)*(1-((1+Inputs!$B$27)/(1+$A7))^Inputs!$B$26)+Inputs!$B$20*(1+Inputs!$B$27)^Inputs!$B$26*(1+D$5)/(($A7-D$5)*(1+$A7)^Inputs!$B$26),"")</f>
        <v>1244.11795275067</v>
      </c>
      <c r="E7" s="12">
        <f>IF(E$5&lt;$A7,Inputs!$B$20*(1+Inputs!$B$27)/($A7-Inputs!$B$27)*(1-((1+Inputs!$B$27)/(1+$A7))^Inputs!$B$26)+Inputs!$B$20*(1+Inputs!$B$27)^Inputs!$B$26*(1+E$5)/(($A7-E$5)*(1+$A7)^Inputs!$B$26),"")</f>
        <v>1409.81476486341</v>
      </c>
      <c r="F7" s="12">
        <f>IF(F$5&lt;$A7,Inputs!$B$20*(1+Inputs!$B$27)/($A7-Inputs!$B$27)*(1-((1+Inputs!$B$27)/(1+$A7))^Inputs!$B$26)+Inputs!$B$20*(1+Inputs!$B$27)^Inputs!$B$26*(1+F$5)/(($A7-F$5)*(1+$A7)^Inputs!$B$26),"")</f>
        <v>1635.13130307014</v>
      </c>
    </row>
    <row r="8" spans="1:6">
      <c r="A8" s="11">
        <f>Inputs!$B$15+(0)</f>
        <v>0.09779228</v>
      </c>
      <c r="B8" s="12">
        <f>IF(B$5&lt;$A8,Inputs!$B$20*(1+Inputs!$B$27)/($A8-Inputs!$B$27)*(1-((1+Inputs!$B$27)/(1+$A8))^Inputs!$B$26)+Inputs!$B$20*(1+Inputs!$B$27)^Inputs!$B$26*(1+B$5)/(($A8-B$5)*(1+$A8)^Inputs!$B$26),"")</f>
        <v>838.976951827775</v>
      </c>
      <c r="C8" s="12">
        <f>IF(C$5&lt;$A8,Inputs!$B$20*(1+Inputs!$B$27)/($A8-Inputs!$B$27)*(1-((1+Inputs!$B$27)/(1+$A8))^Inputs!$B$26)+Inputs!$B$20*(1+Inputs!$B$27)^Inputs!$B$26*(1+C$5)/(($A8-C$5)*(1+$A8)^Inputs!$B$26),"")</f>
        <v>903.86307293379</v>
      </c>
      <c r="D8" s="12">
        <f>IF(D$5&lt;$A8,Inputs!$B$20*(1+Inputs!$B$27)/($A8-Inputs!$B$27)*(1-((1+Inputs!$B$27)/(1+$A8))^Inputs!$B$26)+Inputs!$B$20*(1+Inputs!$B$27)^Inputs!$B$26*(1+D$5)/(($A8-D$5)*(1+$A8)^Inputs!$B$26),"")</f>
        <v>982.325889084699</v>
      </c>
      <c r="E8" s="13">
        <f>IF(E$5&lt;$A8,Inputs!$B$20*(1+Inputs!$B$27)/($A8-Inputs!$B$27)*(1-((1+Inputs!$B$27)/(1+$A8))^Inputs!$B$26)+Inputs!$B$20*(1+Inputs!$B$27)^Inputs!$B$26*(1+E$5)/(($A8-E$5)*(1+$A8)^Inputs!$B$26),"")</f>
        <v>1079.12444620358</v>
      </c>
      <c r="F8" s="12">
        <f>IF(F$5&lt;$A8,Inputs!$B$20*(1+Inputs!$B$27)/($A8-Inputs!$B$27)*(1-((1+Inputs!$B$27)/(1+$A8))^Inputs!$B$26)+Inputs!$B$20*(1+Inputs!$B$27)^Inputs!$B$26*(1+F$5)/(($A8-F$5)*(1+$A8)^Inputs!$B$26),"")</f>
        <v>1201.53631829549</v>
      </c>
    </row>
    <row r="9" spans="1:6">
      <c r="A9" s="11">
        <f>Inputs!$B$15+(0.01)</f>
        <v>0.10779228</v>
      </c>
      <c r="B9" s="12">
        <f>IF(B$5&lt;$A9,Inputs!$B$20*(1+Inputs!$B$27)/($A9-Inputs!$B$27)*(1-((1+Inputs!$B$27)/(1+$A9))^Inputs!$B$26)+Inputs!$B$20*(1+Inputs!$B$27)^Inputs!$B$26*(1+B$5)/(($A9-B$5)*(1+$A9)^Inputs!$B$26),"")</f>
        <v>713.716350740097</v>
      </c>
      <c r="C9" s="12">
        <f>IF(C$5&lt;$A9,Inputs!$B$20*(1+Inputs!$B$27)/($A9-Inputs!$B$27)*(1-((1+Inputs!$B$27)/(1+$A9))^Inputs!$B$26)+Inputs!$B$20*(1+Inputs!$B$27)^Inputs!$B$26*(1+C$5)/(($A9-C$5)*(1+$A9)^Inputs!$B$26),"")</f>
        <v>758.565366766303</v>
      </c>
      <c r="D9" s="12">
        <f>IF(D$5&lt;$A9,Inputs!$B$20*(1+Inputs!$B$27)/($A9-Inputs!$B$27)*(1-((1+Inputs!$B$27)/(1+$A9))^Inputs!$B$26)+Inputs!$B$20*(1+Inputs!$B$27)^Inputs!$B$26*(1+D$5)/(($A9-D$5)*(1+$A9)^Inputs!$B$26),"")</f>
        <v>811.17476463351</v>
      </c>
      <c r="E9" s="12">
        <f>IF(E$5&lt;$A9,Inputs!$B$20*(1+Inputs!$B$27)/($A9-Inputs!$B$27)*(1-((1+Inputs!$B$27)/(1+$A9))^Inputs!$B$26)+Inputs!$B$20*(1+Inputs!$B$27)^Inputs!$B$26*(1+E$5)/(($A9-E$5)*(1+$A9)^Inputs!$B$26),"")</f>
        <v>873.749520668087</v>
      </c>
      <c r="F9" s="12">
        <f>IF(F$5&lt;$A9,Inputs!$B$20*(1+Inputs!$B$27)/($A9-Inputs!$B$27)*(1-((1+Inputs!$B$27)/(1+$A9))^Inputs!$B$26)+Inputs!$B$20*(1+Inputs!$B$27)^Inputs!$B$26*(1+F$5)/(($A9-F$5)*(1+$A9)^Inputs!$B$26),"")</f>
        <v>949.41734446059</v>
      </c>
    </row>
    <row r="10" spans="1:6">
      <c r="A10" s="11">
        <f>Inputs!$B$15+(0.02)</f>
        <v>0.11779228</v>
      </c>
      <c r="B10" s="12">
        <f>IF(B$5&lt;$A10,Inputs!$B$20*(1+Inputs!$B$27)/($A10-Inputs!$B$27)*(1-((1+Inputs!$B$27)/(1+$A10))^Inputs!$B$26)+Inputs!$B$20*(1+Inputs!$B$27)^Inputs!$B$26*(1+B$5)/(($A10-B$5)*(1+$A10)^Inputs!$B$26),"")</f>
        <v>620.705684674414</v>
      </c>
      <c r="C10" s="12">
        <f>IF(C$5&lt;$A10,Inputs!$B$20*(1+Inputs!$B$27)/($A10-Inputs!$B$27)*(1-((1+Inputs!$B$27)/(1+$A10))^Inputs!$B$26)+Inputs!$B$20*(1+Inputs!$B$27)^Inputs!$B$26*(1+C$5)/(($A10-C$5)*(1+$A10)^Inputs!$B$26),"")</f>
        <v>653.229875702292</v>
      </c>
      <c r="D10" s="12">
        <f>IF(D$5&lt;$A10,Inputs!$B$20*(1+Inputs!$B$27)/($A10-Inputs!$B$27)*(1-((1+Inputs!$B$27)/(1+$A10))^Inputs!$B$26)+Inputs!$B$20*(1+Inputs!$B$27)^Inputs!$B$26*(1+D$5)/(($A10-D$5)*(1+$A10)^Inputs!$B$26),"")</f>
        <v>690.551691331065</v>
      </c>
      <c r="E10" s="12">
        <f>IF(E$5&lt;$A10,Inputs!$B$20*(1+Inputs!$B$27)/($A10-Inputs!$B$27)*(1-((1+Inputs!$B$27)/(1+$A10))^Inputs!$B$26)+Inputs!$B$20*(1+Inputs!$B$27)^Inputs!$B$26*(1+E$5)/(($A10-E$5)*(1+$A10)^Inputs!$B$26),"")</f>
        <v>733.817201889975</v>
      </c>
      <c r="F10" s="12">
        <f>IF(F$5&lt;$A10,Inputs!$B$20*(1+Inputs!$B$27)/($A10-Inputs!$B$27)*(1-((1+Inputs!$B$27)/(1+$A10))^Inputs!$B$26)+Inputs!$B$20*(1+Inputs!$B$27)^Inputs!$B$26*(1+F$5)/(($A10-F$5)*(1+$A10)^Inputs!$B$26),"")</f>
        <v>784.569094809801</v>
      </c>
    </row>
    <row r="11" spans="1:6">
      <c r="A11" s="7" t="s">
        <v>98</v>
      </c>
      <c r="B11" s="3">
        <f>Inputs!B13</f>
        <v>1861.9</v>
      </c>
    </row>
    <row r="14" spans="1:6">
      <c r="A14" s="10" t="s">
        <v>168</v>
      </c>
    </row>
    <row r="15" spans="1:6">
      <c r="A15" s="10" t="s">
        <v>167</v>
      </c>
      <c r="B15" s="11">
        <f>Inputs!$C$31+(-0.015)</f>
        <v>0.04</v>
      </c>
      <c r="C15" s="11">
        <f>Inputs!$C$31+(-0.01)</f>
        <v>0.045</v>
      </c>
      <c r="D15" s="11">
        <f>Inputs!$C$31+(-0.005)</f>
        <v>0.05</v>
      </c>
      <c r="E15" s="11">
        <f>Inputs!$C$31+(0)</f>
        <v>0.055</v>
      </c>
      <c r="F15" s="11">
        <f>Inputs!$C$31+(0.005)</f>
        <v>0.06</v>
      </c>
    </row>
    <row r="16" spans="1:6">
      <c r="A16" s="11">
        <f>Inputs!$C$15+(-0.02)</f>
        <v>0.08089332</v>
      </c>
      <c r="B16" s="12">
        <f>IF(B$15&lt;$A16,Inputs!$C$29*Inputs!$C$28*Inputs!$C$22/($A16-Inputs!$C$28*(1-Inputs!$C$29))*(1-((1+Inputs!$C$28*(1-Inputs!$C$29))/(1+$A16))^Inputs!$C$26)+Inputs!$C$22*(1+Inputs!$C$28*(1-Inputs!$C$29))^Inputs!$C$26*(Inputs!$C$30-B$15)/($A16-B$15)/(1+$A16)^Inputs!$C$26,"")</f>
        <v>1048.95234578514</v>
      </c>
      <c r="C16" s="12">
        <f>IF(C$15&lt;$A16,Inputs!$C$29*Inputs!$C$28*Inputs!$C$22/($A16-Inputs!$C$28*(1-Inputs!$C$29))*(1-((1+Inputs!$C$28*(1-Inputs!$C$29))/(1+$A16))^Inputs!$C$26)+Inputs!$C$22*(1+Inputs!$C$28*(1-Inputs!$C$29))^Inputs!$C$26*(Inputs!$C$30-C$15)/($A16-C$15)/(1+$A16)^Inputs!$C$26,"")</f>
        <v>1127.97216532017</v>
      </c>
      <c r="D16" s="12">
        <f>IF(D$15&lt;$A16,Inputs!$C$29*Inputs!$C$28*Inputs!$C$22/($A16-Inputs!$C$28*(1-Inputs!$C$29))*(1-((1+Inputs!$C$28*(1-Inputs!$C$29))/(1+$A16))^Inputs!$C$26)+Inputs!$C$22*(1+Inputs!$C$28*(1-Inputs!$C$29))^Inputs!$C$26*(Inputs!$C$30-D$15)/($A16-D$15)/(1+$A16)^Inputs!$C$26,"")</f>
        <v>1232.57027153174</v>
      </c>
      <c r="E16" s="12">
        <f>IF(E$15&lt;$A16,Inputs!$C$29*Inputs!$C$28*Inputs!$C$22/($A16-Inputs!$C$28*(1-Inputs!$C$29))*(1-((1+Inputs!$C$28*(1-Inputs!$C$29))/(1+$A16))^Inputs!$C$26)+Inputs!$C$22*(1+Inputs!$C$28*(1-Inputs!$C$29))^Inputs!$C$26*(Inputs!$C$30-E$15)/($A16-E$15)/(1+$A16)^Inputs!$C$26,"")</f>
        <v>1377.56416561894</v>
      </c>
      <c r="F16" s="12">
        <f>IF(F$15&lt;$A16,Inputs!$C$29*Inputs!$C$28*Inputs!$C$22/($A16-Inputs!$C$28*(1-Inputs!$C$29))*(1-((1+Inputs!$C$28*(1-Inputs!$C$29))/(1+$A16))^Inputs!$C$26)+Inputs!$C$22*(1+Inputs!$C$28*(1-Inputs!$C$29))^Inputs!$C$26*(Inputs!$C$30-F$15)/($A16-F$15)/(1+$A16)^Inputs!$C$26,"")</f>
        <v>1591.95530920369</v>
      </c>
    </row>
    <row r="17" spans="1:6">
      <c r="A17" s="11">
        <f>Inputs!$C$15+(-0.01)</f>
        <v>0.09089332</v>
      </c>
      <c r="B17" s="12">
        <f>IF(B$15&lt;$A17,Inputs!$C$29*Inputs!$C$28*Inputs!$C$22/($A17-Inputs!$C$28*(1-Inputs!$C$29))*(1-((1+Inputs!$C$28*(1-Inputs!$C$29))/(1+$A17))^Inputs!$C$26)+Inputs!$C$22*(1+Inputs!$C$28*(1-Inputs!$C$29))^Inputs!$C$26*(Inputs!$C$30-B$15)/($A17-B$15)/(1+$A17)^Inputs!$C$26,"")</f>
        <v>823.21300502212</v>
      </c>
      <c r="C17" s="12">
        <f>IF(C$15&lt;$A17,Inputs!$C$29*Inputs!$C$28*Inputs!$C$22/($A17-Inputs!$C$28*(1-Inputs!$C$29))*(1-((1+Inputs!$C$28*(1-Inputs!$C$29))/(1+$A17))^Inputs!$C$26)+Inputs!$C$22*(1+Inputs!$C$28*(1-Inputs!$C$29))^Inputs!$C$26*(Inputs!$C$30-C$15)/($A17-C$15)/(1+$A17)^Inputs!$C$26,"")</f>
        <v>862.613214974082</v>
      </c>
      <c r="D17" s="12">
        <f>IF(D$15&lt;$A17,Inputs!$C$29*Inputs!$C$28*Inputs!$C$22/($A17-Inputs!$C$28*(1-Inputs!$C$29))*(1-((1+Inputs!$C$28*(1-Inputs!$C$29))/(1+$A17))^Inputs!$C$26)+Inputs!$C$22*(1+Inputs!$C$28*(1-Inputs!$C$29))^Inputs!$C$26*(Inputs!$C$30-D$15)/($A17-D$15)/(1+$A17)^Inputs!$C$26,"")</f>
        <v>911.648301710801</v>
      </c>
      <c r="E17" s="12">
        <f>IF(E$15&lt;$A17,Inputs!$C$29*Inputs!$C$28*Inputs!$C$22/($A17-Inputs!$C$28*(1-Inputs!$C$29))*(1-((1+Inputs!$C$28*(1-Inputs!$C$29))/(1+$A17))^Inputs!$C$26)+Inputs!$C$22*(1+Inputs!$C$28*(1-Inputs!$C$29))^Inputs!$C$26*(Inputs!$C$30-E$15)/($A17-E$15)/(1+$A17)^Inputs!$C$26,"")</f>
        <v>974.344728980164</v>
      </c>
      <c r="F17" s="12">
        <f>IF(F$15&lt;$A17,Inputs!$C$29*Inputs!$C$28*Inputs!$C$22/($A17-Inputs!$C$28*(1-Inputs!$C$29))*(1-((1+Inputs!$C$28*(1-Inputs!$C$29))/(1+$A17))^Inputs!$C$26)+Inputs!$C$22*(1+Inputs!$C$28*(1-Inputs!$C$29))^Inputs!$C$26*(Inputs!$C$30-F$15)/($A17-F$15)/(1+$A17)^Inputs!$C$26,"")</f>
        <v>1057.33564945044</v>
      </c>
    </row>
    <row r="18" spans="1:6">
      <c r="A18" s="11">
        <f>Inputs!$C$15+(0)</f>
        <v>0.10089332</v>
      </c>
      <c r="B18" s="12">
        <f>IF(B$15&lt;$A18,Inputs!$C$29*Inputs!$C$28*Inputs!$C$22/($A18-Inputs!$C$28*(1-Inputs!$C$29))*(1-((1+Inputs!$C$28*(1-Inputs!$C$29))/(1+$A18))^Inputs!$C$26)+Inputs!$C$22*(1+Inputs!$C$28*(1-Inputs!$C$29))^Inputs!$C$26*(Inputs!$C$30-B$15)/($A18-B$15)/(1+$A18)^Inputs!$C$26,"")</f>
        <v>672.463241703294</v>
      </c>
      <c r="C18" s="12">
        <f>IF(C$15&lt;$A18,Inputs!$C$29*Inputs!$C$28*Inputs!$C$22/($A18-Inputs!$C$28*(1-Inputs!$C$29))*(1-((1+Inputs!$C$28*(1-Inputs!$C$29))/(1+$A18))^Inputs!$C$26)+Inputs!$C$22*(1+Inputs!$C$28*(1-Inputs!$C$29))^Inputs!$C$26*(Inputs!$C$30-C$15)/($A18-C$15)/(1+$A18)^Inputs!$C$26,"")</f>
        <v>693.035162273399</v>
      </c>
      <c r="D18" s="12">
        <f>IF(D$15&lt;$A18,Inputs!$C$29*Inputs!$C$28*Inputs!$C$22/($A18-Inputs!$C$28*(1-Inputs!$C$29))*(1-((1+Inputs!$C$28*(1-Inputs!$C$29))/(1+$A18))^Inputs!$C$26)+Inputs!$C$22*(1+Inputs!$C$28*(1-Inputs!$C$29))^Inputs!$C$26*(Inputs!$C$30-D$15)/($A18-D$15)/(1+$A18)^Inputs!$C$26,"")</f>
        <v>717.649248017658</v>
      </c>
      <c r="E18" s="13">
        <f>IF(E$15&lt;$A18,Inputs!$C$29*Inputs!$C$28*Inputs!$C$22/($A18-Inputs!$C$28*(1-Inputs!$C$29))*(1-((1+Inputs!$C$28*(1-Inputs!$C$29))/(1+$A18))^Inputs!$C$26)+Inputs!$C$22*(1+Inputs!$C$28*(1-Inputs!$C$29))^Inputs!$C$26*(Inputs!$C$30-E$15)/($A18-E$15)/(1+$A18)^Inputs!$C$26,"")</f>
        <v>747.626660220812</v>
      </c>
      <c r="F18" s="12">
        <f>IF(F$15&lt;$A18,Inputs!$C$29*Inputs!$C$28*Inputs!$C$22/($A18-Inputs!$C$28*(1-Inputs!$C$29))*(1-((1+Inputs!$C$28*(1-Inputs!$C$29))/(1+$A18))^Inputs!$C$26)+Inputs!$C$22*(1+Inputs!$C$28*(1-Inputs!$C$29))^Inputs!$C$26*(Inputs!$C$30-F$15)/($A18-F$15)/(1+$A18)^Inputs!$C$26,"")</f>
        <v>784.934710338216</v>
      </c>
    </row>
    <row r="19" spans="1:6">
      <c r="A19" s="11">
        <f>Inputs!$C$15+(0.01)</f>
        <v>0.11089332</v>
      </c>
      <c r="B19" s="12">
        <f>IF(B$15&lt;$A19,Inputs!$C$29*Inputs!$C$28*Inputs!$C$22/($A19-Inputs!$C$28*(1-Inputs!$C$29))*(1-((1+Inputs!$C$28*(1-Inputs!$C$29))/(1+$A19))^Inputs!$C$26)+Inputs!$C$22*(1+Inputs!$C$28*(1-Inputs!$C$29))^Inputs!$C$26*(Inputs!$C$30-B$15)/($A19-B$15)/(1+$A19)^Inputs!$C$26,"")</f>
        <v>564.925449321316</v>
      </c>
      <c r="C19" s="12">
        <f>IF(C$15&lt;$A19,Inputs!$C$29*Inputs!$C$28*Inputs!$C$22/($A19-Inputs!$C$28*(1-Inputs!$C$29))*(1-((1+Inputs!$C$28*(1-Inputs!$C$29))/(1+$A19))^Inputs!$C$26)+Inputs!$C$22*(1+Inputs!$C$28*(1-Inputs!$C$29))^Inputs!$C$26*(Inputs!$C$30-C$15)/($A19-C$15)/(1+$A19)^Inputs!$C$26,"")</f>
        <v>575.58806666399</v>
      </c>
      <c r="D19" s="12">
        <f>IF(D$15&lt;$A19,Inputs!$C$29*Inputs!$C$28*Inputs!$C$22/($A19-Inputs!$C$28*(1-Inputs!$C$29))*(1-((1+Inputs!$C$28*(1-Inputs!$C$29))/(1+$A19))^Inputs!$C$26)+Inputs!$C$22*(1+Inputs!$C$28*(1-Inputs!$C$29))^Inputs!$C$26*(Inputs!$C$30-D$15)/($A19-D$15)/(1+$A19)^Inputs!$C$26,"")</f>
        <v>588.001716360076</v>
      </c>
      <c r="E19" s="12">
        <f>IF(E$15&lt;$A19,Inputs!$C$29*Inputs!$C$28*Inputs!$C$22/($A19-Inputs!$C$28*(1-Inputs!$C$29))*(1-((1+Inputs!$C$28*(1-Inputs!$C$29))/(1+$A19))^Inputs!$C$26)+Inputs!$C$22*(1+Inputs!$C$28*(1-Inputs!$C$29))^Inputs!$C$26*(Inputs!$C$30-E$15)/($A19-E$15)/(1+$A19)^Inputs!$C$26,"")</f>
        <v>602.636320133697</v>
      </c>
      <c r="F19" s="12">
        <f>IF(F$15&lt;$A19,Inputs!$C$29*Inputs!$C$28*Inputs!$C$22/($A19-Inputs!$C$28*(1-Inputs!$C$29))*(1-((1+Inputs!$C$28*(1-Inputs!$C$29))/(1+$A19))^Inputs!$C$26)+Inputs!$C$22*(1+Inputs!$C$28*(1-Inputs!$C$29))^Inputs!$C$26*(Inputs!$C$30-F$15)/($A19-F$15)/(1+$A19)^Inputs!$C$26,"")</f>
        <v>620.14646902279</v>
      </c>
    </row>
    <row r="20" spans="1:6">
      <c r="A20" s="11">
        <f>Inputs!$C$15+(0.02)</f>
        <v>0.12089332</v>
      </c>
      <c r="B20" s="12">
        <f>IF(B$15&lt;$A20,Inputs!$C$29*Inputs!$C$28*Inputs!$C$22/($A20-Inputs!$C$28*(1-Inputs!$C$29))*(1-((1+Inputs!$C$28*(1-Inputs!$C$29))/(1+$A20))^Inputs!$C$26)+Inputs!$C$22*(1+Inputs!$C$28*(1-Inputs!$C$29))^Inputs!$C$26*(Inputs!$C$30-B$15)/($A20-B$15)/(1+$A20)^Inputs!$C$26,"")</f>
        <v>484.538045509209</v>
      </c>
      <c r="C20" s="12">
        <f>IF(C$15&lt;$A20,Inputs!$C$29*Inputs!$C$28*Inputs!$C$22/($A20-Inputs!$C$28*(1-Inputs!$C$29))*(1-((1+Inputs!$C$28*(1-Inputs!$C$29))/(1+$A20))^Inputs!$C$26)+Inputs!$C$22*(1+Inputs!$C$28*(1-Inputs!$C$29))^Inputs!$C$26*(Inputs!$C$30-C$15)/($A20-C$15)/(1+$A20)^Inputs!$C$26,"")</f>
        <v>489.630501064124</v>
      </c>
      <c r="D20" s="12">
        <f>IF(D$15&lt;$A20,Inputs!$C$29*Inputs!$C$28*Inputs!$C$22/($A20-Inputs!$C$28*(1-Inputs!$C$29))*(1-((1+Inputs!$C$28*(1-Inputs!$C$29))/(1+$A20))^Inputs!$C$26)+Inputs!$C$22*(1+Inputs!$C$28*(1-Inputs!$C$29))^Inputs!$C$26*(Inputs!$C$30-D$15)/($A20-D$15)/(1+$A20)^Inputs!$C$26,"")</f>
        <v>495.441283191262</v>
      </c>
      <c r="E20" s="12">
        <f>IF(E$15&lt;$A20,Inputs!$C$29*Inputs!$C$28*Inputs!$C$22/($A20-Inputs!$C$28*(1-Inputs!$C$29))*(1-((1+Inputs!$C$28*(1-Inputs!$C$29))/(1+$A20))^Inputs!$C$26)+Inputs!$C$22*(1+Inputs!$C$28*(1-Inputs!$C$29))^Inputs!$C$26*(Inputs!$C$30-E$15)/($A20-E$15)/(1+$A20)^Inputs!$C$26,"")</f>
        <v>502.133912238109</v>
      </c>
      <c r="F20" s="12">
        <f>IF(F$15&lt;$A20,Inputs!$C$29*Inputs!$C$28*Inputs!$C$22/($A20-Inputs!$C$28*(1-Inputs!$C$29))*(1-((1+Inputs!$C$28*(1-Inputs!$C$29))/(1+$A20))^Inputs!$C$26)+Inputs!$C$22*(1+Inputs!$C$28*(1-Inputs!$C$29))^Inputs!$C$26*(Inputs!$C$30-F$15)/($A20-F$15)/(1+$A20)^Inputs!$C$26,"")</f>
        <v>509.925615706724</v>
      </c>
    </row>
    <row r="21" spans="1:6">
      <c r="A21" s="7" t="s">
        <v>98</v>
      </c>
      <c r="B21" s="3">
        <f>Inputs!C13</f>
        <v>1759.8</v>
      </c>
    </row>
    <row r="24" spans="1:6">
      <c r="A24" s="10" t="s">
        <v>169</v>
      </c>
    </row>
    <row r="25" spans="1:6">
      <c r="A25" s="10" t="s">
        <v>167</v>
      </c>
      <c r="B25" s="11">
        <f>Inputs!$D$31+(-0.015)</f>
        <v>0.04</v>
      </c>
      <c r="C25" s="11">
        <f>Inputs!$D$31+(-0.01)</f>
        <v>0.045</v>
      </c>
      <c r="D25" s="11">
        <f>Inputs!$D$31+(-0.005)</f>
        <v>0.05</v>
      </c>
      <c r="E25" s="11">
        <f>Inputs!$D$31+(0)</f>
        <v>0.055</v>
      </c>
      <c r="F25" s="11">
        <f>Inputs!$D$31+(0.005)</f>
        <v>0.06</v>
      </c>
    </row>
    <row r="26" spans="1:6">
      <c r="A26" s="11">
        <f>Inputs!$D$15+(-0.02)</f>
        <v>0.12672924</v>
      </c>
      <c r="B26" s="12">
        <f>IF(B$25&lt;$A26,Inputs!$D$29*Inputs!$D$28*Inputs!$D$22/($A26-Inputs!$D$28*(1-Inputs!$D$29))*(1-((1+Inputs!$D$28*(1-Inputs!$D$29))/(1+$A26))^Inputs!$D$26)+Inputs!$D$22*(1+Inputs!$D$28*(1-Inputs!$D$29))^Inputs!$D$26*(Inputs!$D$30-B$25)/($A26-B$25)/(1+$A26)^Inputs!$D$26,"")</f>
        <v>752.155914662847</v>
      </c>
      <c r="C26" s="12">
        <f>IF(C$25&lt;$A26,Inputs!$D$29*Inputs!$D$28*Inputs!$D$22/($A26-Inputs!$D$28*(1-Inputs!$D$29))*(1-((1+Inputs!$D$28*(1-Inputs!$D$29))/(1+$A26))^Inputs!$D$26)+Inputs!$D$22*(1+Inputs!$D$28*(1-Inputs!$D$29))^Inputs!$D$26*(Inputs!$D$30-C$25)/($A26-C$25)/(1+$A26)^Inputs!$D$26,"")</f>
        <v>761.105057709068</v>
      </c>
      <c r="D26" s="12">
        <f>IF(D$25&lt;$A26,Inputs!$D$29*Inputs!$D$28*Inputs!$D$22/($A26-Inputs!$D$28*(1-Inputs!$D$29))*(1-((1+Inputs!$D$28*(1-Inputs!$D$29))/(1+$A26))^Inputs!$D$26)+Inputs!$D$22*(1+Inputs!$D$28*(1-Inputs!$D$29))^Inputs!$D$26*(Inputs!$D$30-D$25)/($A26-D$25)/(1+$A26)^Inputs!$D$26,"")</f>
        <v>771.220528356895</v>
      </c>
      <c r="E26" s="12">
        <f>IF(E$25&lt;$A26,Inputs!$D$29*Inputs!$D$28*Inputs!$D$22/($A26-Inputs!$D$28*(1-Inputs!$D$29))*(1-((1+Inputs!$D$28*(1-Inputs!$D$29))/(1+$A26))^Inputs!$D$26)+Inputs!$D$22*(1+Inputs!$D$28*(1-Inputs!$D$29))^Inputs!$D$26*(Inputs!$D$30-E$25)/($A26-E$25)/(1+$A26)^Inputs!$D$26,"")</f>
        <v>782.746228730818</v>
      </c>
      <c r="F26" s="12">
        <f>IF(F$25&lt;$A26,Inputs!$D$29*Inputs!$D$28*Inputs!$D$22/($A26-Inputs!$D$28*(1-Inputs!$D$29))*(1-((1+Inputs!$D$28*(1-Inputs!$D$29))/(1+$A26))^Inputs!$D$26)+Inputs!$D$22*(1+Inputs!$D$28*(1-Inputs!$D$29))^Inputs!$D$26*(Inputs!$D$30-F$25)/($A26-F$25)/(1+$A26)^Inputs!$D$26,"")</f>
        <v>795.999162979114</v>
      </c>
    </row>
    <row r="27" spans="1:6">
      <c r="A27" s="11">
        <f>Inputs!$D$15+(-0.01)</f>
        <v>0.13672924</v>
      </c>
      <c r="B27" s="12">
        <f>IF(B$25&lt;$A27,Inputs!$D$29*Inputs!$D$28*Inputs!$D$22/($A27-Inputs!$D$28*(1-Inputs!$D$29))*(1-((1+Inputs!$D$28*(1-Inputs!$D$29))/(1+$A27))^Inputs!$D$26)+Inputs!$D$22*(1+Inputs!$D$28*(1-Inputs!$D$29))^Inputs!$D$26*(Inputs!$D$30-B$25)/($A27-B$25)/(1+$A27)^Inputs!$D$26,"")</f>
        <v>652.286263339797</v>
      </c>
      <c r="C27" s="12">
        <f>IF(C$25&lt;$A27,Inputs!$D$29*Inputs!$D$28*Inputs!$D$22/($A27-Inputs!$D$28*(1-Inputs!$D$29))*(1-((1+Inputs!$D$28*(1-Inputs!$D$29))/(1+$A27))^Inputs!$D$26)+Inputs!$D$22*(1+Inputs!$D$28*(1-Inputs!$D$29))^Inputs!$D$26*(Inputs!$D$30-C$25)/($A27-C$25)/(1+$A27)^Inputs!$D$26,"")</f>
        <v>656.187091109782</v>
      </c>
      <c r="D27" s="12">
        <f>IF(D$25&lt;$A27,Inputs!$D$29*Inputs!$D$28*Inputs!$D$22/($A27-Inputs!$D$28*(1-Inputs!$D$29))*(1-((1+Inputs!$D$28*(1-Inputs!$D$29))/(1+$A27))^Inputs!$D$26)+Inputs!$D$22*(1+Inputs!$D$28*(1-Inputs!$D$29))^Inputs!$D$26*(Inputs!$D$30-D$25)/($A27-D$25)/(1+$A27)^Inputs!$D$26,"")</f>
        <v>660.537689657187</v>
      </c>
      <c r="E27" s="12">
        <f>IF(E$25&lt;$A27,Inputs!$D$29*Inputs!$D$28*Inputs!$D$22/($A27-Inputs!$D$28*(1-Inputs!$D$29))*(1-((1+Inputs!$D$28*(1-Inputs!$D$29))/(1+$A27))^Inputs!$D$26)+Inputs!$D$22*(1+Inputs!$D$28*(1-Inputs!$D$29))^Inputs!$D$26*(Inputs!$D$30-E$25)/($A27-E$25)/(1+$A27)^Inputs!$D$26,"")</f>
        <v>665.420606692738</v>
      </c>
      <c r="F27" s="12">
        <f>IF(F$25&lt;$A27,Inputs!$D$29*Inputs!$D$28*Inputs!$D$22/($A27-Inputs!$D$28*(1-Inputs!$D$29))*(1-((1+Inputs!$D$28*(1-Inputs!$D$29))/(1+$A27))^Inputs!$D$26)+Inputs!$D$22*(1+Inputs!$D$28*(1-Inputs!$D$29))^Inputs!$D$26*(Inputs!$D$30-F$25)/($A27-F$25)/(1+$A27)^Inputs!$D$26,"")</f>
        <v>670.939906551258</v>
      </c>
    </row>
    <row r="28" spans="1:6">
      <c r="A28" s="11">
        <f>Inputs!$D$15+(0)</f>
        <v>0.14672924</v>
      </c>
      <c r="B28" s="12">
        <f>IF(B$25&lt;$A28,Inputs!$D$29*Inputs!$D$28*Inputs!$D$22/($A28-Inputs!$D$28*(1-Inputs!$D$29))*(1-((1+Inputs!$D$28*(1-Inputs!$D$29))/(1+$A28))^Inputs!$D$26)+Inputs!$D$22*(1+Inputs!$D$28*(1-Inputs!$D$29))^Inputs!$D$26*(Inputs!$D$30-B$25)/($A28-B$25)/(1+$A28)^Inputs!$D$26,"")</f>
        <v>572.145759111611</v>
      </c>
      <c r="C28" s="12">
        <f>IF(C$25&lt;$A28,Inputs!$D$29*Inputs!$D$28*Inputs!$D$22/($A28-Inputs!$D$28*(1-Inputs!$D$29))*(1-((1+Inputs!$D$28*(1-Inputs!$D$29))/(1+$A28))^Inputs!$D$26)+Inputs!$D$22*(1+Inputs!$D$28*(1-Inputs!$D$29))^Inputs!$D$26*(Inputs!$D$30-C$25)/($A28-C$25)/(1+$A28)^Inputs!$D$26,"")</f>
        <v>572.897774516237</v>
      </c>
      <c r="D28" s="12">
        <f>IF(D$25&lt;$A28,Inputs!$D$29*Inputs!$D$28*Inputs!$D$22/($A28-Inputs!$D$28*(1-Inputs!$D$29))*(1-((1+Inputs!$D$28*(1-Inputs!$D$29))/(1+$A28))^Inputs!$D$26)+Inputs!$D$22*(1+Inputs!$D$28*(1-Inputs!$D$29))^Inputs!$D$26*(Inputs!$D$30-D$25)/($A28-D$25)/(1+$A28)^Inputs!$D$26,"")</f>
        <v>573.727534293156</v>
      </c>
      <c r="E28" s="13">
        <f>IF(E$25&lt;$A28,Inputs!$D$29*Inputs!$D$28*Inputs!$D$22/($A28-Inputs!$D$28*(1-Inputs!$D$29))*(1-((1+Inputs!$D$28*(1-Inputs!$D$29))/(1+$A28))^Inputs!$D$26)+Inputs!$D$22*(1+Inputs!$D$28*(1-Inputs!$D$29))^Inputs!$D$26*(Inputs!$D$30-E$25)/($A28-E$25)/(1+$A28)^Inputs!$D$26,"")</f>
        <v>574.647751570531</v>
      </c>
      <c r="F28" s="12">
        <f>IF(F$25&lt;$A28,Inputs!$D$29*Inputs!$D$28*Inputs!$D$22/($A28-Inputs!$D$28*(1-Inputs!$D$29))*(1-((1+Inputs!$D$28*(1-Inputs!$D$29))/(1+$A28))^Inputs!$D$26)+Inputs!$D$22*(1+Inputs!$D$28*(1-Inputs!$D$29))^Inputs!$D$26*(Inputs!$D$30-F$25)/($A28-F$25)/(1+$A28)^Inputs!$D$26,"")</f>
        <v>575.674071158659</v>
      </c>
    </row>
    <row r="29" spans="1:6">
      <c r="A29" s="11">
        <f>Inputs!$D$15+(0.01)</f>
        <v>0.15672924</v>
      </c>
      <c r="B29" s="12">
        <f>IF(B$25&lt;$A29,Inputs!$D$29*Inputs!$D$28*Inputs!$D$22/($A29-Inputs!$D$28*(1-Inputs!$D$29))*(1-((1+Inputs!$D$28*(1-Inputs!$D$29))/(1+$A29))^Inputs!$D$26)+Inputs!$D$22*(1+Inputs!$D$28*(1-Inputs!$D$29))^Inputs!$D$26*(Inputs!$D$30-B$25)/($A29-B$25)/(1+$A29)^Inputs!$D$26,"")</f>
        <v>506.609171222441</v>
      </c>
      <c r="C29" s="12">
        <f>IF(C$25&lt;$A29,Inputs!$D$29*Inputs!$D$28*Inputs!$D$22/($A29-Inputs!$D$28*(1-Inputs!$D$29))*(1-((1+Inputs!$D$28*(1-Inputs!$D$29))/(1+$A29))^Inputs!$D$26)+Inputs!$D$22*(1+Inputs!$D$28*(1-Inputs!$D$29))^Inputs!$D$26*(Inputs!$D$30-C$25)/($A29-C$25)/(1+$A29)^Inputs!$D$26,"")</f>
        <v>505.375860081885</v>
      </c>
      <c r="D29" s="12">
        <f>IF(D$25&lt;$A29,Inputs!$D$29*Inputs!$D$28*Inputs!$D$22/($A29-Inputs!$D$28*(1-Inputs!$D$29))*(1-((1+Inputs!$D$28*(1-Inputs!$D$29))/(1+$A29))^Inputs!$D$26)+Inputs!$D$22*(1+Inputs!$D$28*(1-Inputs!$D$29))^Inputs!$D$26*(Inputs!$D$30-D$25)/($A29-D$25)/(1+$A29)^Inputs!$D$26,"")</f>
        <v>504.026993809432</v>
      </c>
      <c r="E29" s="12">
        <f>IF(E$25&lt;$A29,Inputs!$D$29*Inputs!$D$28*Inputs!$D$22/($A29-Inputs!$D$28*(1-Inputs!$D$29))*(1-((1+Inputs!$D$28*(1-Inputs!$D$29))/(1+$A29))^Inputs!$D$26)+Inputs!$D$22*(1+Inputs!$D$28*(1-Inputs!$D$29))^Inputs!$D$26*(Inputs!$D$30-E$25)/($A29-E$25)/(1+$A29)^Inputs!$D$26,"")</f>
        <v>502.545533774119</v>
      </c>
      <c r="F29" s="12">
        <f>IF(F$25&lt;$A29,Inputs!$D$29*Inputs!$D$28*Inputs!$D$22/($A29-Inputs!$D$28*(1-Inputs!$D$29))*(1-((1+Inputs!$D$28*(1-Inputs!$D$29))/(1+$A29))^Inputs!$D$26)+Inputs!$D$22*(1+Inputs!$D$28*(1-Inputs!$D$29))^Inputs!$D$26*(Inputs!$D$30-F$25)/($A29-F$25)/(1+$A29)^Inputs!$D$26,"")</f>
        <v>500.910918391435</v>
      </c>
    </row>
    <row r="30" spans="1:6">
      <c r="A30" s="11">
        <f>Inputs!$D$15+(0.02)</f>
        <v>0.16672924</v>
      </c>
      <c r="B30" s="12">
        <f>IF(B$25&lt;$A30,Inputs!$D$29*Inputs!$D$28*Inputs!$D$22/($A30-Inputs!$D$28*(1-Inputs!$D$29))*(1-((1+Inputs!$D$28*(1-Inputs!$D$29))/(1+$A30))^Inputs!$D$26)+Inputs!$D$22*(1+Inputs!$D$28*(1-Inputs!$D$29))^Inputs!$D$26*(Inputs!$D$30-B$25)/($A30-B$25)/(1+$A30)^Inputs!$D$26,"")</f>
        <v>452.172345865459</v>
      </c>
      <c r="C30" s="12">
        <f>IF(C$25&lt;$A30,Inputs!$D$29*Inputs!$D$28*Inputs!$D$22/($A30-Inputs!$D$28*(1-Inputs!$D$29))*(1-((1+Inputs!$D$28*(1-Inputs!$D$29))/(1+$A30))^Inputs!$D$26)+Inputs!$D$22*(1+Inputs!$D$28*(1-Inputs!$D$29))^Inputs!$D$26*(Inputs!$D$30-C$25)/($A30-C$25)/(1+$A30)^Inputs!$D$26,"")</f>
        <v>449.689408472287</v>
      </c>
      <c r="D30" s="12">
        <f>IF(D$25&lt;$A30,Inputs!$D$29*Inputs!$D$28*Inputs!$D$22/($A30-Inputs!$D$28*(1-Inputs!$D$29))*(1-((1+Inputs!$D$28*(1-Inputs!$D$29))/(1+$A30))^Inputs!$D$26)+Inputs!$D$22*(1+Inputs!$D$28*(1-Inputs!$D$29))^Inputs!$D$26*(Inputs!$D$30-D$25)/($A30-D$25)/(1+$A30)^Inputs!$D$26,"")</f>
        <v>446.993761959004</v>
      </c>
      <c r="E30" s="12">
        <f>IF(E$25&lt;$A30,Inputs!$D$29*Inputs!$D$28*Inputs!$D$22/($A30-Inputs!$D$28*(1-Inputs!$D$29))*(1-((1+Inputs!$D$28*(1-Inputs!$D$29))/(1+$A30))^Inputs!$D$26)+Inputs!$D$22*(1+Inputs!$D$28*(1-Inputs!$D$29))^Inputs!$D$26*(Inputs!$D$30-E$25)/($A30-E$25)/(1+$A30)^Inputs!$D$26,"")</f>
        <v>444.056849460801</v>
      </c>
      <c r="F30" s="12">
        <f>IF(F$25&lt;$A30,Inputs!$D$29*Inputs!$D$28*Inputs!$D$22/($A30-Inputs!$D$28*(1-Inputs!$D$29))*(1-((1+Inputs!$D$28*(1-Inputs!$D$29))/(1+$A30))^Inputs!$D$26)+Inputs!$D$22*(1+Inputs!$D$28*(1-Inputs!$D$29))^Inputs!$D$26*(Inputs!$D$30-F$25)/($A30-F$25)/(1+$A30)^Inputs!$D$26,"")</f>
        <v>440.844762839912</v>
      </c>
    </row>
    <row r="31" spans="1:6">
      <c r="A31" s="7" t="s">
        <v>98</v>
      </c>
      <c r="B31" s="3">
        <f>Inputs!D13</f>
        <v>1350.5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3"/>
  <cols>
    <col min="1" max="1" width="16" customWidth="1"/>
    <col min="2" max="2" width="20" customWidth="1"/>
    <col min="3" max="3" width="32" customWidth="1"/>
    <col min="4" max="4" width="12" customWidth="1"/>
    <col min="5" max="6" width="14" customWidth="1"/>
    <col min="7" max="10" width="13" customWidth="1"/>
    <col min="11" max="11" width="14" customWidth="1"/>
    <col min="12" max="12" width="20" customWidth="1"/>
    <col min="13" max="13" width="14" customWidth="1"/>
  </cols>
  <sheetData>
    <row r="1" ht="26.25" spans="1:13">
      <c r="A1" s="1" t="s">
        <v>170</v>
      </c>
      <c r="B1" s="1" t="s">
        <v>171</v>
      </c>
      <c r="C1" s="1" t="s">
        <v>172</v>
      </c>
      <c r="D1" s="1" t="s">
        <v>173</v>
      </c>
      <c r="E1" s="1" t="s">
        <v>174</v>
      </c>
      <c r="F1" s="1" t="s">
        <v>175</v>
      </c>
      <c r="G1" s="1" t="s">
        <v>176</v>
      </c>
      <c r="H1" s="1" t="s">
        <v>177</v>
      </c>
      <c r="I1" s="1" t="s">
        <v>178</v>
      </c>
      <c r="J1" s="1" t="s">
        <v>179</v>
      </c>
      <c r="K1" s="1" t="s">
        <v>180</v>
      </c>
      <c r="L1" s="1" t="s">
        <v>181</v>
      </c>
      <c r="M1" s="1" t="s">
        <v>182</v>
      </c>
    </row>
    <row r="2" spans="1:13">
      <c r="A2" s="2" t="str">
        <f>Inputs!B11</f>
        <v>HINDUNILVR.NS</v>
      </c>
      <c r="B2" s="2" t="str">
        <f>Inputs!B10</f>
        <v>Hindustan Unilever</v>
      </c>
      <c r="C2" s="2" t="str">
        <f>Inputs!B12</f>
        <v>Two-stage DDM</v>
      </c>
      <c r="D2" s="3">
        <f>Inputs!B13</f>
        <v>1861.9</v>
      </c>
      <c r="E2" s="4">
        <f>Inputs!B15</f>
        <v>0.09779228</v>
      </c>
      <c r="F2" s="3">
        <f>DDM!B29</f>
        <v>1079.12444620358</v>
      </c>
      <c r="G2" s="5">
        <f>F2/D2-1</f>
        <v>-0.420417613081485</v>
      </c>
      <c r="H2" s="3">
        <f>Comps!B11</f>
        <v>2104.75652173913</v>
      </c>
      <c r="I2" s="5">
        <f>H2/D2-1</f>
        <v>0.130434782608696</v>
      </c>
      <c r="J2" s="6">
        <f>AVERAGE(F2,H2)</f>
        <v>1591.94048397136</v>
      </c>
      <c r="K2" s="5">
        <f>J2/D2-1</f>
        <v>-0.144991415236395</v>
      </c>
      <c r="L2" s="4">
        <f>DDM!B33</f>
        <v>0.074139180268012</v>
      </c>
      <c r="M2" s="7" t="str">
        <f>IF(K2&gt;Inputs!$B$7,"Undervalued",IF(K2&lt;-Inputs!$B$7,"Overvalued","Fairly valued"))</f>
        <v>Fairly valued</v>
      </c>
    </row>
    <row r="3" spans="1:13">
      <c r="A3" s="2" t="str">
        <f>Inputs!C11</f>
        <v>SUNPHARMA.NS</v>
      </c>
      <c r="B3" s="2" t="str">
        <f>Inputs!C10</f>
        <v>Sun Pharma</v>
      </c>
      <c r="C3" s="2" t="str">
        <f>Inputs!C12</f>
        <v>Two-stage residual income</v>
      </c>
      <c r="D3" s="3">
        <f>Inputs!C13</f>
        <v>1759.8</v>
      </c>
      <c r="E3" s="4">
        <f>Inputs!C15</f>
        <v>0.10089332</v>
      </c>
      <c r="F3" s="3">
        <f>ResidualIncome!B33</f>
        <v>747.626660220812</v>
      </c>
      <c r="G3" s="5">
        <f>F3/D3-1</f>
        <v>-0.575163848039089</v>
      </c>
      <c r="H3" s="3">
        <f>Comps!B20</f>
        <v>1701.84251497006</v>
      </c>
      <c r="I3" s="5">
        <f>H3/D3-1</f>
        <v>-0.0329341317365269</v>
      </c>
      <c r="J3" s="6">
        <f>AVERAGE(F3,H3)</f>
        <v>1224.73458759544</v>
      </c>
      <c r="K3" s="5">
        <f>J3/D3-1</f>
        <v>-0.304048989887808</v>
      </c>
      <c r="L3" s="4">
        <f>ResidualIncome!B38</f>
        <v>0.0863238876158096</v>
      </c>
      <c r="M3" s="7" t="str">
        <f>IF(K3&gt;Inputs!$B$7,"Undervalued",IF(K3&lt;-Inputs!$B$7,"Overvalued","Fairly valued"))</f>
        <v>Overvalued</v>
      </c>
    </row>
    <row r="4" spans="1:13">
      <c r="A4" s="2" t="str">
        <f>Inputs!D11</f>
        <v>ICICIBANK.NS</v>
      </c>
      <c r="B4" s="2" t="str">
        <f>Inputs!D10</f>
        <v>ICICI Bank</v>
      </c>
      <c r="C4" s="2" t="str">
        <f>Inputs!D12</f>
        <v>Two-stage residual income (bank)</v>
      </c>
      <c r="D4" s="3">
        <f>Inputs!D13</f>
        <v>1350.5</v>
      </c>
      <c r="E4" s="4">
        <f>Inputs!D15</f>
        <v>0.14672924</v>
      </c>
      <c r="F4" s="3">
        <f>ResidualIncome!B73</f>
        <v>574.647751570531</v>
      </c>
      <c r="G4" s="5">
        <f>F4/D4-1</f>
        <v>-0.574492594172135</v>
      </c>
      <c r="H4" s="3">
        <f>Comps!B31</f>
        <v>1139.04134615385</v>
      </c>
      <c r="I4" s="5">
        <f>H4/D4-1</f>
        <v>-0.156578048016404</v>
      </c>
      <c r="J4" s="6">
        <f>AVERAGE(F4,H4)</f>
        <v>856.844548862189</v>
      </c>
      <c r="K4" s="5">
        <f>J4/D4-1</f>
        <v>-0.36553532109427</v>
      </c>
      <c r="L4" s="4">
        <f>ResidualIncome!B78</f>
        <v>0.13887654962963</v>
      </c>
      <c r="M4" s="7" t="str">
        <f>IF(K4&gt;Inputs!$B$7,"Undervalued",IF(K4&lt;-Inputs!$B$7,"Overvalued","Fairly valued"))</f>
        <v>Overvalued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Inputs</vt:lpstr>
      <vt:lpstr>DDM</vt:lpstr>
      <vt:lpstr>ResidualIncome</vt:lpstr>
      <vt:lpstr>Comps</vt:lpstr>
      <vt:lpstr>Sensitivity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Abhay</cp:lastModifiedBy>
  <dcterms:created xsi:type="dcterms:W3CDTF">2026-10-13T12:06:00Z</dcterms:created>
  <dcterms:modified xsi:type="dcterms:W3CDTF">2026-10-13T12:06:17Z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A2E31844400144B38082B508EE4D0747_12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