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EADME" sheetId="1" r:id="rId1"/>
    <sheet name="Inputs" sheetId="2" r:id="rId2"/>
    <sheet name="DDM" sheetId="3" r:id="rId3"/>
    <sheet name="Bank" sheetId="4" r:id="rId4"/>
    <sheet name="Comps" sheetId="5" r:id="rId5"/>
    <sheet name="Sensitivity" sheetId="6" r:id="rId6"/>
    <sheet name="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<sst xmlns="http://schemas.openxmlformats.org/spreadsheetml/2006/main" count="231" uniqueCount="183">
  <si>
    <t>Valuation workbook: Hindustan Unilever, Infosys, ICICI Bank</t>
  </si>
  <si>
    <t/>
  </si>
  <si>
    <t>Colour code</t>
  </si>
  <si>
    <t>Blue text = hardcoded input (each cites its source in the notes column)</t>
  </si>
  <si>
    <t>Black text = formula</t>
  </si>
  <si>
    <t>Green text = link pulled from another sheet</t>
  </si>
  <si>
    <t>Yellow fill = key assumption the group should review</t>
  </si>
  <si>
    <t>Sheets</t>
  </si>
  <si>
    <t>Inputs: market rates, company data and model assumptions. The only sheet you need to edit.</t>
  </si>
  <si>
    <t>DDM: two-stage dividend discount model for HUL and Infosys (BKM Ch 18).</t>
  </si>
  <si>
    <t>Bank: two-stage P/B (residual income) model for ICICI Bank; terminal value = book x justified P/B.</t>
  </si>
  <si>
    <t>Comps: peer multiples. Banks use P/B scaled by ROE because justified P/B rises with ROE.</t>
  </si>
  <si>
    <t>Sensitivity: intrinsic value across cost of equity (rows) and terminal growth (columns).</t>
  </si>
  <si>
    <t>Summary: one row per stock. The Python pipeline reads this sheet; keep its layout.</t>
  </si>
  <si>
    <t>How to update</t>
  </si>
  <si>
    <t>1. Change blue/yellow cells on Inputs.  2. Save in Excel (this stores the computed values).</t>
  </si>
  <si>
    <t>3. Run `python -m pipeline.run_all` to refresh valuation.json.</t>
  </si>
  <si>
    <t>Method notes and caveats</t>
  </si>
  <si>
    <t>Cost of equity r = rf + beta x ERP. rf = 91-day T-bill (RBI); ERP = Damodaran India total ERP; beta = daily-return beta vs Nifty 50, 2016-2026 (pipeline).</t>
  </si>
  <si>
    <t>Terminal growth is kept at or below rf (Damodaran's stable-growth rule: no firm outgrows the economy forever).</t>
  </si>
  <si>
    <t>HUL's FY26 EPS (Rs 64.0) includes a ~Rs 3,900 Cr one-off gain in Q3 FY26. EPS here is price / Screener P/E, which excludes it (~Rs 47).</t>
  </si>
  <si>
    <t>Blended value = simple average of the model value and the comps value (a judgement call).</t>
  </si>
  <si>
    <t>Verdict: blended upside beyond +/- the band on Inputs = Undervalued / Overvalued.</t>
  </si>
  <si>
    <t>These models are very sensitive to r and g; read the Sensitivity sheet before quoting a single number.</t>
  </si>
  <si>
    <t>Valuation inputs</t>
  </si>
  <si>
    <t>Edit blue cells and yellow assumptions only. Everything else is a formula.</t>
  </si>
  <si>
    <t>Market</t>
  </si>
  <si>
    <t>Risk-free rate (91-day T-bill)</t>
  </si>
  <si>
    <t>RBI, 91-day T-bill cut-off yield (auction of 30 Sep 2026); RBI homepage, as of 2026-10-01</t>
  </si>
  <si>
    <t>Equity risk premium (India, total)</t>
  </si>
  <si>
    <t>Damodaran, Country Default Spreads and Risk Premiums (India, Baa3), updated 2026-01-05</t>
  </si>
  <si>
    <t>Verdict band (+/- upside)</t>
  </si>
  <si>
    <t>Assumption: blended upside beyond this = Under/Overvalued</t>
  </si>
  <si>
    <t>Price date</t>
  </si>
  <si>
    <t>2026-10-01</t>
  </si>
  <si>
    <t>NSE close via Yahoo Finance (pipeline data/latest)</t>
  </si>
  <si>
    <t>Company inputs</t>
  </si>
  <si>
    <t>Hindustan Unilever</t>
  </si>
  <si>
    <t>Infosys</t>
  </si>
  <si>
    <t>ICICI Bank</t>
  </si>
  <si>
    <t>Source / note</t>
  </si>
  <si>
    <t>Ticker</t>
  </si>
  <si>
    <t>HINDUNILVR.NS</t>
  </si>
  <si>
    <t>INFY.NS</t>
  </si>
  <si>
    <t>ICICIBANK.NS</t>
  </si>
  <si>
    <t>Yahoo Finance symbol</t>
  </si>
  <si>
    <t>Valuation model</t>
  </si>
  <si>
    <t>Two-stage DDM</t>
  </si>
  <si>
    <t>Two-stage P/B (residual income)</t>
  </si>
  <si>
    <t>Banks: free cash flow is not meaningful, so value book value x justified P/B</t>
  </si>
  <si>
    <t>Price (Rs)</t>
  </si>
  <si>
    <t>Pipeline data/latest/prices.parquet, last close</t>
  </si>
  <si>
    <t>Beta vs Nifty 50</t>
  </si>
  <si>
    <t>Pipeline metrics.json: daily returns 2016 to price date</t>
  </si>
  <si>
    <t>Cost of equity r = rf + beta x ERP</t>
  </si>
  <si>
    <t>CAPM (BKM Ch 9)</t>
  </si>
  <si>
    <t>Screener P/E (TTM, excl. exceptional items)</t>
  </si>
  <si>
    <t>Screener.in public page, read 2 Oct 2026 (consolidated)</t>
  </si>
  <si>
    <t>EPS, TTM (Rs) = price / Screener P/E</t>
  </si>
  <si>
    <t>Same earnings basis as the peer P/Es on the Comps sheet</t>
  </si>
  <si>
    <t>EPS FY21 (Rs)</t>
  </si>
  <si>
    <t>Screener.in public page, read 2 Oct 2026 (consolidated), P&amp;L table</t>
  </si>
  <si>
    <t>EPS growth, ~5-yr CAGR</t>
  </si>
  <si>
    <t>FY21 to TTM; a reference point for g1, not used directly</t>
  </si>
  <si>
    <t>Dividend per share FY26 = D0 (Rs)</t>
  </si>
  <si>
    <t>Yahoo Finance dividends: HUL 19 (Nov-25) + 22 (Jun-26); INFY 23 (Oct-25) + 25 (Jun-26); ICICI 12 (Aug-26)</t>
  </si>
  <si>
    <t>Payout ratio (DPS / EPS TTM)</t>
  </si>
  <si>
    <t>Book value per share (Rs)</t>
  </si>
  <si>
    <t>ROE, latest FY</t>
  </si>
  <si>
    <t>Screener.in public page, read 2 Oct 2026 (consolidated) (HUL's figure includes the FY26 one-off gain)</t>
  </si>
  <si>
    <t>Model assumptions (review these)</t>
  </si>
  <si>
    <t>High-growth years N (1 to 10)</t>
  </si>
  <si>
    <t>Assumption: same horizon for all three for comparability</t>
  </si>
  <si>
    <t>Dividend growth in high-growth phase g1 (DDM)</t>
  </si>
  <si>
    <t>n/a</t>
  </si>
  <si>
    <t>Assumption. HUL: ~5-yr sales CAGR 6.5-7% with flat margins. INFY: between 5-yr EPS CAGR (~10%) and 3-yr profit growth (8%)</t>
  </si>
  <si>
    <t>ROE in high-growth phase (bank)</t>
  </si>
  <si>
    <t>Assumption: FY26 ROE held for N years (3-yr average was 17%)</t>
  </si>
  <si>
    <t>Payout in high-growth phase (bank)</t>
  </si>
  <si>
    <t>Assumption: FY26 payout per Screener (16%)</t>
  </si>
  <si>
    <t>Stable ROE after year N (bank)</t>
  </si>
  <si>
    <t>Assumption: ROE fades toward the peer range (11-14%) but stays above it</t>
  </si>
  <si>
    <t>Terminal growth g2 (keep at or below rf)</t>
  </si>
  <si>
    <t>Assumption: capped at rf, a proxy for long-run nominal growth</t>
  </si>
  <si>
    <t>Check: g2 at or below rf</t>
  </si>
  <si>
    <t>Check: g2 below r</t>
  </si>
  <si>
    <t>Two-stage dividend discount model: Hindustan Unilever and Infosys</t>
  </si>
  <si>
    <t>Dividends grow at g1 for N years, then at g2 for ever. Value = PV of dividends in years 1-10 + PV of the terminal value at year 10. Years after N already grow at g2, so any N from 1 to 10 gives the textbook two-stage value.</t>
  </si>
  <si>
    <t>Inputs (linked)</t>
  </si>
  <si>
    <t>D0, dividend just paid (Rs)</t>
  </si>
  <si>
    <t>Cost of equity r</t>
  </si>
  <si>
    <t>High-growth rate g1</t>
  </si>
  <si>
    <t>High-growth years N</t>
  </si>
  <si>
    <t>Terminal growth g2</t>
  </si>
  <si>
    <t>Market price (Rs)</t>
  </si>
  <si>
    <t>Year</t>
  </si>
  <si>
    <t>HUL growth</t>
  </si>
  <si>
    <t>HUL dividend (Rs)</t>
  </si>
  <si>
    <t>HUL PV (Rs)</t>
  </si>
  <si>
    <t>INFY growth</t>
  </si>
  <si>
    <t>INFY dividend (Rs)</t>
  </si>
  <si>
    <t>INFY PV (Rs)</t>
  </si>
  <si>
    <t>Results</t>
  </si>
  <si>
    <t>PV of dividends, years 1-10 (Rs)</t>
  </si>
  <si>
    <t>Terminal value at year 10 (Rs)</t>
  </si>
  <si>
    <t>PV of terminal value (Rs)</t>
  </si>
  <si>
    <t>Intrinsic value per share (Rs)</t>
  </si>
  <si>
    <t>Upside (intrinsic / price - 1)</t>
  </si>
  <si>
    <t>Share of value from terminal value</t>
  </si>
  <si>
    <t>Market-implied perpetual growth (reverse DDM)</t>
  </si>
  <si>
    <t>Check: closed-form two-stage value (Rs)</t>
  </si>
  <si>
    <t>Check: table minus closed form (should be 0)</t>
  </si>
  <si>
    <t>Reverse DDM: the constant growth g at which Gordon's formula D0(1+g)/(r-g) equals today's price, i.e. g = (r x P - D0) / (P + D0).</t>
  </si>
  <si>
    <t>ICICI Bank: two-stage P/B (residual income) model</t>
  </si>
  <si>
    <t>Book value compounds at ROE x retention. For N years the bank keeps its current ROE and payout; afterwards payout = 1 - g2/ROE, just enough retention to grow book at g2. Terminal value = book value x justified P/B, where justified P/B = (ROE - g) / (r - g).</t>
  </si>
  <si>
    <t>Book value per share now (Rs)</t>
  </si>
  <si>
    <t>ROE in high-growth phase</t>
  </si>
  <si>
    <t>Payout in high-growth phase</t>
  </si>
  <si>
    <t>Stable ROE after year N</t>
  </si>
  <si>
    <t>Stable payout = 1 - g2 / stable ROE</t>
  </si>
  <si>
    <t>Opening book (Rs)</t>
  </si>
  <si>
    <t>ROE</t>
  </si>
  <si>
    <t>EPS (Rs)</t>
  </si>
  <si>
    <t>Payout</t>
  </si>
  <si>
    <t>DPS (Rs)</t>
  </si>
  <si>
    <t>Closing book (Rs)</t>
  </si>
  <si>
    <t>PV of DPS (Rs)</t>
  </si>
  <si>
    <t>Justified P/B at year 10 = (ROE - g2) / (r - g2)</t>
  </si>
  <si>
    <t>Terminal value = book at year 10 x justified P/B (Rs)</t>
  </si>
  <si>
    <t>Intrinsic P/B (intrinsic / book now)</t>
  </si>
  <si>
    <t>Market P/B (price / book now)</t>
  </si>
  <si>
    <t>Market-implied perpetual growth at today's ROE</t>
  </si>
  <si>
    <t>Check: closed-form value (Rs)</t>
  </si>
  <si>
    <t>Implied growth solves single-stage P/B = (ROE - g) / (r - g) for g: g = (r x P/B - ROE) / (P/B - 1).</t>
  </si>
  <si>
    <t>Peer multiples</t>
  </si>
  <si>
    <t>Peer figures: Screener.in public page, read 2 Oct 2026 (consolidated). P/E is Screener's TTM P/E.</t>
  </si>
  <si>
    <t>FMCG peers for Hindustan Unilever</t>
  </si>
  <si>
    <t>Peer</t>
  </si>
  <si>
    <t>P/E (TTM)</t>
  </si>
  <si>
    <t>Nestle India</t>
  </si>
  <si>
    <t>Britannia Industries</t>
  </si>
  <si>
    <t>Dabur India</t>
  </si>
  <si>
    <t>Median peer P/E</t>
  </si>
  <si>
    <t>HUL EPS, TTM (Rs)</t>
  </si>
  <si>
    <t>HUL value at median P/E (Rs)</t>
  </si>
  <si>
    <t>IT services peers for Infosys</t>
  </si>
  <si>
    <t>TCS</t>
  </si>
  <si>
    <t>HCL Technologies</t>
  </si>
  <si>
    <t>Wipro</t>
  </si>
  <si>
    <t>Infosys EPS, TTM (Rs)</t>
  </si>
  <si>
    <t>Infosys value at median P/E (Rs)</t>
  </si>
  <si>
    <t>Private bank peers for ICICI Bank</t>
  </si>
  <si>
    <t>Book value (Rs)</t>
  </si>
  <si>
    <t>P/B</t>
  </si>
  <si>
    <t>P/B per unit of ROE</t>
  </si>
  <si>
    <t>HDFC Bank</t>
  </si>
  <si>
    <t>Kotak Mahindra Bank</t>
  </si>
  <si>
    <t>Axis Bank</t>
  </si>
  <si>
    <t>Median</t>
  </si>
  <si>
    <t>ICICI Bank ROE (latest FY)</t>
  </si>
  <si>
    <t>ICICI Bank book value per share (Rs)</t>
  </si>
  <si>
    <t>ICICI value at median P/B (Rs), for reference</t>
  </si>
  <si>
    <t>ICICI value at ROE-adjusted median P/B (Rs)</t>
  </si>
  <si>
    <t>ROE-adjusted because justified P/B = (ROE - g)/(r - g) rises with ROE, and ICICI's ROE is above all three peers.</t>
  </si>
  <si>
    <t>Intrinsic value (Rs) vs cost of equity and terminal growth</t>
  </si>
  <si>
    <t>Rows shift r from its CAPM base; columns shift g2 from its base. Other inputs as on Inputs. Bold cell = base case. Blank where g2 &gt;= r (formula invalid).</t>
  </si>
  <si>
    <t>Hindustan Unilever (two-stage DDM)</t>
  </si>
  <si>
    <t>r  \  g2</t>
  </si>
  <si>
    <t>Infosys (two-stage DDM)</t>
  </si>
  <si>
    <t>ICICI Bank (two-stage P/B)</t>
  </si>
  <si>
    <t>ticker</t>
  </si>
  <si>
    <t>name</t>
  </si>
  <si>
    <t>model</t>
  </si>
  <si>
    <t>price</t>
  </si>
  <si>
    <t>cost_of_equity</t>
  </si>
  <si>
    <t>intrinsic_value</t>
  </si>
  <si>
    <t>model_upside</t>
  </si>
  <si>
    <t>comps_value</t>
  </si>
  <si>
    <t>comps_upside</t>
  </si>
  <si>
    <t>blended_value</t>
  </si>
  <si>
    <t>blended_upside</t>
  </si>
  <si>
    <t>market_implied_growth</t>
  </si>
  <si>
    <t>verdict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</si>
</sst>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0.0%"/>
    <numFmt numFmtId="182" formatCode="&quot;₹&quot;#,##0"/>
    <numFmt numFmtId="183" formatCode="0.0&quot;x&quot;"/>
  </numFmts>
  <fonts count="29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color rgb="FF008000"/>
      <name val="Arial"/>
      <charset val="134"/>
    </font>
    <font>
      <sz val="10"/>
      <color rgb="FF000000"/>
      <name val="Arial"/>
      <charset val="134"/>
    </font>
    <font>
      <b/>
      <sz val="14"/>
      <name val="Arial"/>
      <charset val="134"/>
    </font>
    <font>
      <i/>
      <sz val="10"/>
      <color rgb="FF666666"/>
      <name val="Arial"/>
      <charset val="134"/>
    </font>
    <font>
      <b/>
      <sz val="10"/>
      <color rgb="FF000000"/>
      <name val="Arial"/>
      <charset val="134"/>
    </font>
    <font>
      <sz val="10"/>
      <color rgb="FF0000FF"/>
      <name val="Arial"/>
      <charset val="134"/>
    </font>
    <font>
      <sz val="10"/>
      <color rgb="FF6666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180" fontId="2" fillId="0" borderId="0" xfId="0" applyNumberFormat="1" applyFont="1"/>
    <xf numFmtId="181" fontId="2" fillId="0" borderId="0" xfId="0" applyNumberFormat="1" applyFont="1"/>
    <xf numFmtId="181" fontId="3" fillId="0" borderId="0" xfId="0" applyNumberFormat="1" applyFont="1"/>
    <xf numFmtId="18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81" fontId="6" fillId="0" borderId="0" xfId="0" applyNumberFormat="1" applyFont="1"/>
    <xf numFmtId="182" fontId="3" fillId="0" borderId="0" xfId="0" applyNumberFormat="1" applyFont="1"/>
    <xf numFmtId="182" fontId="6" fillId="0" borderId="0" xfId="0" applyNumberFormat="1" applyFont="1"/>
    <xf numFmtId="2" fontId="7" fillId="0" borderId="0" xfId="0" applyNumberFormat="1" applyFont="1"/>
    <xf numFmtId="180" fontId="7" fillId="0" borderId="0" xfId="0" applyNumberFormat="1" applyFont="1"/>
    <xf numFmtId="2" fontId="6" fillId="0" borderId="0" xfId="0" applyNumberFormat="1" applyFont="1"/>
    <xf numFmtId="180" fontId="6" fillId="0" borderId="0" xfId="0" applyNumberFormat="1" applyFont="1"/>
    <xf numFmtId="181" fontId="7" fillId="0" borderId="0" xfId="0" applyNumberFormat="1" applyFont="1"/>
    <xf numFmtId="183" fontId="3" fillId="0" borderId="0" xfId="0" applyNumberFormat="1" applyFont="1"/>
    <xf numFmtId="2" fontId="3" fillId="0" borderId="0" xfId="0" applyNumberFormat="1" applyFont="1"/>
    <xf numFmtId="183" fontId="6" fillId="0" borderId="0" xfId="0" applyNumberFormat="1" applyFont="1"/>
    <xf numFmtId="1" fontId="2" fillId="0" borderId="0" xfId="0" applyNumberFormat="1" applyFont="1"/>
    <xf numFmtId="0" fontId="8" fillId="0" borderId="0" xfId="0" applyFont="1"/>
    <xf numFmtId="181" fontId="7" fillId="3" borderId="0" xfId="0" applyNumberFormat="1" applyFont="1" applyFill="1"/>
    <xf numFmtId="0" fontId="7" fillId="0" borderId="0" xfId="0" applyFont="1"/>
    <xf numFmtId="1" fontId="7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1" sqref="A1"/>
    </sheetView>
  </sheetViews>
  <sheetFormatPr defaultColWidth="9" defaultRowHeight="14.25"/>
  <cols>
    <col min="1" max="1" width="120" customWidth="1"/>
  </cols>
  <sheetData>
    <row r="1" ht="17.6" spans="1:1">
      <c r="A1" s="8" t="s">
        <v>0</v>
      </c>
    </row>
    <row r="2" spans="1:1">
      <c r="A2" s="7" t="s">
        <v>1</v>
      </c>
    </row>
    <row r="3" spans="1:1">
      <c r="A3" s="10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7" t="s">
        <v>6</v>
      </c>
    </row>
    <row r="8" spans="1:1">
      <c r="A8" s="7" t="s">
        <v>1</v>
      </c>
    </row>
    <row r="9" spans="1:1">
      <c r="A9" s="10" t="s">
        <v>7</v>
      </c>
    </row>
    <row r="10" spans="1:1">
      <c r="A10" s="7" t="s">
        <v>8</v>
      </c>
    </row>
    <row r="11" spans="1:1">
      <c r="A11" s="7" t="s">
        <v>9</v>
      </c>
    </row>
    <row r="12" spans="1:1">
      <c r="A12" s="7" t="s">
        <v>10</v>
      </c>
    </row>
    <row r="13" spans="1:1">
      <c r="A13" s="7" t="s">
        <v>11</v>
      </c>
    </row>
    <row r="14" spans="1:1">
      <c r="A14" s="7" t="s">
        <v>12</v>
      </c>
    </row>
    <row r="15" spans="1:1">
      <c r="A15" s="7" t="s">
        <v>13</v>
      </c>
    </row>
    <row r="16" spans="1:1">
      <c r="A16" s="7" t="s">
        <v>1</v>
      </c>
    </row>
    <row r="17" spans="1:1">
      <c r="A17" s="10" t="s">
        <v>14</v>
      </c>
    </row>
    <row r="18" spans="1:1">
      <c r="A18" s="7" t="s">
        <v>15</v>
      </c>
    </row>
    <row r="19" spans="1:1">
      <c r="A19" s="7" t="s">
        <v>16</v>
      </c>
    </row>
    <row r="20" spans="1:1">
      <c r="A20" s="7" t="s">
        <v>1</v>
      </c>
    </row>
    <row r="21" spans="1:1">
      <c r="A21" s="10" t="s">
        <v>17</v>
      </c>
    </row>
    <row r="22" spans="1:1">
      <c r="A22" s="7" t="s">
        <v>18</v>
      </c>
    </row>
    <row r="23" spans="1:1">
      <c r="A23" s="7" t="s">
        <v>19</v>
      </c>
    </row>
    <row r="24" spans="1:1">
      <c r="A24" s="7" t="s">
        <v>20</v>
      </c>
    </row>
    <row r="25" spans="1:1">
      <c r="A25" s="7" t="s">
        <v>21</v>
      </c>
    </row>
    <row r="26" spans="1:1">
      <c r="A26" s="7" t="s">
        <v>22</v>
      </c>
    </row>
    <row r="27" spans="1:1">
      <c r="A27" s="7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pane xSplit="1" ySplit="10" topLeftCell="B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4"/>
  <cols>
    <col min="1" max="1" width="44" customWidth="1"/>
    <col min="2" max="3" width="20" customWidth="1"/>
    <col min="4" max="4" width="30" customWidth="1"/>
    <col min="5" max="5" width="95" customWidth="1"/>
  </cols>
  <sheetData>
    <row r="1" ht="17.6" spans="1:5">
      <c r="A1" s="8" t="s">
        <v>24</v>
      </c>
    </row>
    <row r="2" spans="1:5">
      <c r="A2" s="9" t="s">
        <v>25</v>
      </c>
    </row>
    <row r="4" spans="1:5">
      <c r="A4" s="10" t="s">
        <v>26</v>
      </c>
    </row>
    <row r="5" spans="1:5">
      <c r="A5" s="7" t="s">
        <v>27</v>
      </c>
      <c r="B5" s="18">
        <v>0.055199</v>
      </c>
      <c r="E5" s="23" t="s">
        <v>28</v>
      </c>
    </row>
    <row r="6" spans="1:5">
      <c r="A6" s="7" t="s">
        <v>29</v>
      </c>
      <c r="B6" s="18">
        <v>0.0708</v>
      </c>
      <c r="E6" s="23" t="s">
        <v>30</v>
      </c>
    </row>
    <row r="7" spans="1:5">
      <c r="A7" s="7" t="s">
        <v>31</v>
      </c>
      <c r="B7" s="24">
        <v>0.15</v>
      </c>
      <c r="E7" s="23" t="s">
        <v>32</v>
      </c>
    </row>
    <row r="8" spans="1:5">
      <c r="A8" s="7" t="s">
        <v>33</v>
      </c>
      <c r="B8" s="25" t="s">
        <v>34</v>
      </c>
      <c r="E8" s="23" t="s">
        <v>35</v>
      </c>
    </row>
    <row r="10" spans="1: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>
      <c r="A11" s="7" t="s">
        <v>41</v>
      </c>
      <c r="B11" s="25" t="s">
        <v>42</v>
      </c>
      <c r="C11" s="25" t="s">
        <v>43</v>
      </c>
      <c r="D11" s="25" t="s">
        <v>44</v>
      </c>
      <c r="E11" s="23" t="s">
        <v>45</v>
      </c>
    </row>
    <row r="12" spans="1:5">
      <c r="A12" s="7" t="s">
        <v>46</v>
      </c>
      <c r="B12" s="25" t="s">
        <v>47</v>
      </c>
      <c r="C12" s="25" t="s">
        <v>47</v>
      </c>
      <c r="D12" s="25" t="s">
        <v>48</v>
      </c>
      <c r="E12" s="23" t="s">
        <v>49</v>
      </c>
    </row>
    <row r="13" spans="1:5">
      <c r="A13" s="7" t="s">
        <v>50</v>
      </c>
      <c r="B13" s="15">
        <v>1836</v>
      </c>
      <c r="C13" s="15">
        <v>1035</v>
      </c>
      <c r="D13" s="15">
        <v>1310.6</v>
      </c>
      <c r="E13" s="23" t="s">
        <v>51</v>
      </c>
    </row>
    <row r="14" spans="1:5">
      <c r="A14" s="7" t="s">
        <v>52</v>
      </c>
      <c r="B14" s="14">
        <v>0.6004</v>
      </c>
      <c r="C14" s="14">
        <v>0.8211</v>
      </c>
      <c r="D14" s="14">
        <v>1.2949</v>
      </c>
      <c r="E14" s="23" t="s">
        <v>53</v>
      </c>
    </row>
    <row r="15" spans="1:5">
      <c r="A15" s="7" t="s">
        <v>54</v>
      </c>
      <c r="B15" s="5">
        <f>$B$5+B14*$B$6</f>
        <v>0.09770732</v>
      </c>
      <c r="C15" s="5">
        <f>$B$5+C14*$B$6</f>
        <v>0.11333288</v>
      </c>
      <c r="D15" s="5">
        <f>$B$5+D14*$B$6</f>
        <v>0.14687792</v>
      </c>
      <c r="E15" s="23" t="s">
        <v>55</v>
      </c>
    </row>
    <row r="16" spans="1:5">
      <c r="A16" s="7" t="s">
        <v>56</v>
      </c>
      <c r="B16" s="14">
        <v>39.1</v>
      </c>
      <c r="C16" s="14">
        <v>13.5</v>
      </c>
      <c r="D16" s="14">
        <v>16.8</v>
      </c>
      <c r="E16" s="23" t="s">
        <v>57</v>
      </c>
    </row>
    <row r="17" spans="1:5">
      <c r="A17" s="7" t="s">
        <v>58</v>
      </c>
      <c r="B17" s="6">
        <f>B13/B16</f>
        <v>46.9565217391304</v>
      </c>
      <c r="C17" s="6">
        <f>C13/C16</f>
        <v>76.6666666666667</v>
      </c>
      <c r="D17" s="6">
        <f>D13/D16</f>
        <v>78.0119047619048</v>
      </c>
      <c r="E17" s="23" t="s">
        <v>59</v>
      </c>
    </row>
    <row r="18" spans="1:5">
      <c r="A18" s="7" t="s">
        <v>60</v>
      </c>
      <c r="B18" s="15">
        <v>34.03</v>
      </c>
      <c r="C18" s="15">
        <v>45.42</v>
      </c>
      <c r="D18" s="15">
        <v>26.58</v>
      </c>
      <c r="E18" s="23" t="s">
        <v>61</v>
      </c>
    </row>
    <row r="19" spans="1:5">
      <c r="A19" s="7" t="s">
        <v>62</v>
      </c>
      <c r="B19" s="5">
        <f>(B17/B18)^(1/5)-1</f>
        <v>0.0665145729752543</v>
      </c>
      <c r="C19" s="5">
        <f>(C17/C18)^(1/5)-1</f>
        <v>0.110380663601837</v>
      </c>
      <c r="D19" s="5">
        <f>(D17/D18)^(1/5)-1</f>
        <v>0.240284113772609</v>
      </c>
      <c r="E19" s="23" t="s">
        <v>63</v>
      </c>
    </row>
    <row r="20" spans="1:5">
      <c r="A20" s="7" t="s">
        <v>64</v>
      </c>
      <c r="B20" s="15">
        <v>41</v>
      </c>
      <c r="C20" s="15">
        <v>48</v>
      </c>
      <c r="D20" s="15">
        <v>12</v>
      </c>
      <c r="E20" s="23" t="s">
        <v>65</v>
      </c>
    </row>
    <row r="21" spans="1:5">
      <c r="A21" s="7" t="s">
        <v>66</v>
      </c>
      <c r="B21" s="5">
        <f>B20/B17</f>
        <v>0.873148148148148</v>
      </c>
      <c r="C21" s="5">
        <f>C20/C17</f>
        <v>0.626086956521739</v>
      </c>
      <c r="D21" s="5">
        <f>D20/D17</f>
        <v>0.153822676636655</v>
      </c>
      <c r="E21" s="23" t="s">
        <v>1</v>
      </c>
    </row>
    <row r="22" spans="1:5">
      <c r="A22" s="7" t="s">
        <v>67</v>
      </c>
      <c r="B22" s="15">
        <v>207</v>
      </c>
      <c r="C22" s="15">
        <v>225</v>
      </c>
      <c r="D22" s="15">
        <v>527</v>
      </c>
      <c r="E22" s="23" t="s">
        <v>57</v>
      </c>
    </row>
    <row r="23" spans="1:5">
      <c r="A23" s="7" t="s">
        <v>68</v>
      </c>
      <c r="B23" s="18">
        <v>0.31</v>
      </c>
      <c r="C23" s="18">
        <v>0.319</v>
      </c>
      <c r="D23" s="18">
        <v>0.159</v>
      </c>
      <c r="E23" s="23" t="s">
        <v>69</v>
      </c>
    </row>
    <row r="25" spans="1:5">
      <c r="A25" s="10" t="s">
        <v>70</v>
      </c>
    </row>
    <row r="26" spans="1:5">
      <c r="A26" s="7" t="s">
        <v>71</v>
      </c>
      <c r="B26" s="26">
        <v>5</v>
      </c>
      <c r="C26" s="26">
        <v>5</v>
      </c>
      <c r="D26" s="26">
        <v>5</v>
      </c>
      <c r="E26" s="23" t="s">
        <v>72</v>
      </c>
    </row>
    <row r="27" spans="1:5">
      <c r="A27" s="7" t="s">
        <v>73</v>
      </c>
      <c r="B27" s="24">
        <v>0.07</v>
      </c>
      <c r="C27" s="24">
        <v>0.08</v>
      </c>
      <c r="D27" s="23" t="s">
        <v>74</v>
      </c>
      <c r="E27" s="23" t="s">
        <v>75</v>
      </c>
    </row>
    <row r="28" spans="1:5">
      <c r="A28" s="7" t="s">
        <v>76</v>
      </c>
      <c r="B28" s="23" t="s">
        <v>74</v>
      </c>
      <c r="C28" s="23" t="s">
        <v>74</v>
      </c>
      <c r="D28" s="24">
        <v>0.16</v>
      </c>
      <c r="E28" s="23" t="s">
        <v>77</v>
      </c>
    </row>
    <row r="29" spans="1:5">
      <c r="A29" s="7" t="s">
        <v>78</v>
      </c>
      <c r="B29" s="23" t="s">
        <v>74</v>
      </c>
      <c r="C29" s="23" t="s">
        <v>74</v>
      </c>
      <c r="D29" s="24">
        <v>0.16</v>
      </c>
      <c r="E29" s="23" t="s">
        <v>79</v>
      </c>
    </row>
    <row r="30" spans="1:5">
      <c r="A30" s="7" t="s">
        <v>80</v>
      </c>
      <c r="B30" s="23" t="s">
        <v>74</v>
      </c>
      <c r="C30" s="23" t="s">
        <v>74</v>
      </c>
      <c r="D30" s="24">
        <v>0.15</v>
      </c>
      <c r="E30" s="23" t="s">
        <v>81</v>
      </c>
    </row>
    <row r="31" spans="1:5">
      <c r="A31" s="7" t="s">
        <v>82</v>
      </c>
      <c r="B31" s="24">
        <v>0.055</v>
      </c>
      <c r="C31" s="24">
        <v>0.055</v>
      </c>
      <c r="D31" s="24">
        <v>0.055</v>
      </c>
      <c r="E31" s="23" t="s">
        <v>83</v>
      </c>
    </row>
    <row r="32" spans="1:5">
      <c r="A32" s="7" t="s">
        <v>84</v>
      </c>
      <c r="B32" s="7" t="str">
        <f>IF(B31&lt;=$B$5,"OK","g2 above rf")</f>
        <v>OK</v>
      </c>
      <c r="C32" s="7" t="str">
        <f>IF(C31&lt;=$B$5,"OK","g2 above rf")</f>
        <v>OK</v>
      </c>
      <c r="D32" s="7" t="str">
        <f>IF(D31&lt;=$B$5,"OK","g2 above rf")</f>
        <v>OK</v>
      </c>
      <c r="E32" s="23" t="s">
        <v>1</v>
      </c>
    </row>
    <row r="33" spans="1:5">
      <c r="A33" s="7" t="s">
        <v>85</v>
      </c>
      <c r="B33" s="7" t="str">
        <f>IF(B31&lt;B15,"OK","g2 must be below r")</f>
        <v>OK</v>
      </c>
      <c r="C33" s="7" t="str">
        <f>IF(C31&lt;C15,"OK","g2 must be below r")</f>
        <v>OK</v>
      </c>
      <c r="D33" s="7" t="str">
        <f>IF(D31&lt;D15,"OK","g2 must be below r")</f>
        <v>OK</v>
      </c>
      <c r="E33" s="23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1"/>
    </sheetView>
  </sheetViews>
  <sheetFormatPr defaultColWidth="9" defaultRowHeight="14.25" outlineLevelCol="6"/>
  <cols>
    <col min="1" max="1" width="46" customWidth="1"/>
    <col min="2" max="3" width="20" customWidth="1"/>
    <col min="4" max="4" width="14" customWidth="1"/>
    <col min="5" max="5" width="12" customWidth="1"/>
    <col min="6" max="6" width="18" customWidth="1"/>
    <col min="7" max="7" width="14" customWidth="1"/>
  </cols>
  <sheetData>
    <row r="1" ht="17.6" spans="1:7">
      <c r="A1" s="8" t="s">
        <v>86</v>
      </c>
    </row>
    <row r="2" spans="1:7">
      <c r="A2" s="9" t="s">
        <v>87</v>
      </c>
    </row>
    <row r="4" spans="1:7">
      <c r="A4" s="1" t="s">
        <v>88</v>
      </c>
      <c r="B4" s="1" t="s">
        <v>37</v>
      </c>
      <c r="C4" s="1" t="s">
        <v>38</v>
      </c>
    </row>
    <row r="5" spans="1:7">
      <c r="A5" s="7" t="s">
        <v>89</v>
      </c>
      <c r="B5" s="3">
        <f>Inputs!B20</f>
        <v>41</v>
      </c>
      <c r="C5" s="3">
        <f>Inputs!C20</f>
        <v>48</v>
      </c>
    </row>
    <row r="6" spans="1:7">
      <c r="A6" s="7" t="s">
        <v>90</v>
      </c>
      <c r="B6" s="4">
        <f>Inputs!B15</f>
        <v>0.09770732</v>
      </c>
      <c r="C6" s="4">
        <f>Inputs!C15</f>
        <v>0.11333288</v>
      </c>
    </row>
    <row r="7" spans="1:7">
      <c r="A7" s="7" t="s">
        <v>91</v>
      </c>
      <c r="B7" s="4">
        <f>Inputs!B27</f>
        <v>0.07</v>
      </c>
      <c r="C7" s="4">
        <f>Inputs!C27</f>
        <v>0.08</v>
      </c>
    </row>
    <row r="8" spans="1:7">
      <c r="A8" s="7" t="s">
        <v>92</v>
      </c>
      <c r="B8" s="22">
        <f>Inputs!B26</f>
        <v>5</v>
      </c>
      <c r="C8" s="22">
        <f>Inputs!C26</f>
        <v>5</v>
      </c>
    </row>
    <row r="9" spans="1:7">
      <c r="A9" s="7" t="s">
        <v>93</v>
      </c>
      <c r="B9" s="4">
        <f>Inputs!B31</f>
        <v>0.055</v>
      </c>
      <c r="C9" s="4">
        <f>Inputs!C31</f>
        <v>0.055</v>
      </c>
    </row>
    <row r="10" spans="1:7">
      <c r="A10" s="7" t="s">
        <v>94</v>
      </c>
      <c r="B10" s="3">
        <f>Inputs!B13</f>
        <v>1836</v>
      </c>
      <c r="C10" s="3">
        <f>Inputs!C13</f>
        <v>1035</v>
      </c>
    </row>
    <row r="12" spans="1:7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101</v>
      </c>
    </row>
    <row r="13" spans="1:7">
      <c r="A13" s="7">
        <v>0</v>
      </c>
      <c r="C13" s="6">
        <f>B5</f>
        <v>41</v>
      </c>
      <c r="F13" s="6">
        <f>C5</f>
        <v>48</v>
      </c>
    </row>
    <row r="14" spans="1:7">
      <c r="A14" s="7">
        <v>1</v>
      </c>
      <c r="B14" s="5">
        <f t="shared" ref="B14:B23" si="0">IF(A14&lt;=$B$8,$B$7,$B$9)</f>
        <v>0.07</v>
      </c>
      <c r="C14" s="6">
        <f t="shared" ref="C14:C23" si="1">C13*(1+B14)</f>
        <v>43.87</v>
      </c>
      <c r="D14" s="6">
        <f t="shared" ref="D14:D23" si="2">C14/(1+$B$6)^A14</f>
        <v>39.9651156557834</v>
      </c>
      <c r="E14" s="5">
        <f t="shared" ref="E14:E23" si="3">IF(A14&lt;=$C$8,$C$7,$C$9)</f>
        <v>0.08</v>
      </c>
      <c r="F14" s="6">
        <f t="shared" ref="F14:F23" si="4">F13*(1+E14)</f>
        <v>51.84</v>
      </c>
      <c r="G14" s="6">
        <f t="shared" ref="G14:G23" si="5">F14/(1+$C$6)^A14</f>
        <v>46.562893211238</v>
      </c>
    </row>
    <row r="15" spans="1:7">
      <c r="A15" s="7">
        <v>2</v>
      </c>
      <c r="B15" s="5">
        <f t="shared" si="0"/>
        <v>0.07</v>
      </c>
      <c r="C15" s="6">
        <f t="shared" si="1"/>
        <v>46.9409</v>
      </c>
      <c r="D15" s="6">
        <f t="shared" si="2"/>
        <v>38.9563529117107</v>
      </c>
      <c r="E15" s="5">
        <f t="shared" si="3"/>
        <v>0.08</v>
      </c>
      <c r="F15" s="6">
        <f t="shared" si="4"/>
        <v>55.9872</v>
      </c>
      <c r="G15" s="6">
        <f t="shared" si="5"/>
        <v>45.1688130041906</v>
      </c>
    </row>
    <row r="16" spans="1:7">
      <c r="A16" s="7">
        <v>3</v>
      </c>
      <c r="B16" s="5">
        <f t="shared" si="0"/>
        <v>0.07</v>
      </c>
      <c r="C16" s="6">
        <f t="shared" si="1"/>
        <v>50.226763</v>
      </c>
      <c r="D16" s="6">
        <f t="shared" si="2"/>
        <v>37.9730524303423</v>
      </c>
      <c r="E16" s="5">
        <f t="shared" si="3"/>
        <v>0.08</v>
      </c>
      <c r="F16" s="6">
        <f t="shared" si="4"/>
        <v>60.466176</v>
      </c>
      <c r="G16" s="6">
        <f t="shared" si="5"/>
        <v>43.8164711748438</v>
      </c>
    </row>
    <row r="17" spans="1:7">
      <c r="A17" s="7">
        <v>4</v>
      </c>
      <c r="B17" s="5">
        <f t="shared" si="0"/>
        <v>0.07</v>
      </c>
      <c r="C17" s="6">
        <f t="shared" si="1"/>
        <v>53.74263641</v>
      </c>
      <c r="D17" s="6">
        <f t="shared" si="2"/>
        <v>37.0145715166282</v>
      </c>
      <c r="E17" s="5">
        <f t="shared" si="3"/>
        <v>0.08</v>
      </c>
      <c r="F17" s="6">
        <f t="shared" si="4"/>
        <v>65.30347008</v>
      </c>
      <c r="G17" s="6">
        <f t="shared" si="5"/>
        <v>42.5046180876571</v>
      </c>
    </row>
    <row r="18" spans="1:7">
      <c r="A18" s="7">
        <v>5</v>
      </c>
      <c r="B18" s="5">
        <f t="shared" si="0"/>
        <v>0.07</v>
      </c>
      <c r="C18" s="6">
        <f t="shared" si="1"/>
        <v>57.5046209587</v>
      </c>
      <c r="D18" s="6">
        <f t="shared" si="2"/>
        <v>36.0802836978368</v>
      </c>
      <c r="E18" s="5">
        <f t="shared" si="3"/>
        <v>0.08</v>
      </c>
      <c r="F18" s="6">
        <f t="shared" si="4"/>
        <v>70.5277476864</v>
      </c>
      <c r="G18" s="6">
        <f t="shared" si="5"/>
        <v>41.232041520834</v>
      </c>
    </row>
    <row r="19" spans="1:7">
      <c r="A19" s="7">
        <v>6</v>
      </c>
      <c r="B19" s="5">
        <f t="shared" si="0"/>
        <v>0.055</v>
      </c>
      <c r="C19" s="6">
        <f t="shared" si="1"/>
        <v>60.6673751114285</v>
      </c>
      <c r="D19" s="6">
        <f t="shared" si="2"/>
        <v>34.6765468423931</v>
      </c>
      <c r="E19" s="5">
        <f t="shared" si="3"/>
        <v>0.055</v>
      </c>
      <c r="F19" s="6">
        <f t="shared" si="4"/>
        <v>74.406773809152</v>
      </c>
      <c r="G19" s="6">
        <f t="shared" si="5"/>
        <v>39.0716959733371</v>
      </c>
    </row>
    <row r="20" spans="1:7">
      <c r="A20" s="7">
        <v>7</v>
      </c>
      <c r="B20" s="5">
        <f t="shared" si="0"/>
        <v>0.055</v>
      </c>
      <c r="C20" s="6">
        <f t="shared" si="1"/>
        <v>64.0040807425571</v>
      </c>
      <c r="D20" s="6">
        <f t="shared" si="2"/>
        <v>33.3274236694757</v>
      </c>
      <c r="E20" s="5">
        <f t="shared" si="3"/>
        <v>0.055</v>
      </c>
      <c r="F20" s="6">
        <f t="shared" si="4"/>
        <v>78.4991463686554</v>
      </c>
      <c r="G20" s="6">
        <f t="shared" si="5"/>
        <v>37.0245413499965</v>
      </c>
    </row>
    <row r="21" spans="1:7">
      <c r="A21" s="7">
        <v>8</v>
      </c>
      <c r="B21" s="5">
        <f t="shared" si="0"/>
        <v>0.055</v>
      </c>
      <c r="C21" s="6">
        <f t="shared" si="1"/>
        <v>67.5243051833977</v>
      </c>
      <c r="D21" s="6">
        <f t="shared" si="2"/>
        <v>32.0307893831817</v>
      </c>
      <c r="E21" s="5">
        <f t="shared" si="3"/>
        <v>0.055</v>
      </c>
      <c r="F21" s="6">
        <f t="shared" si="4"/>
        <v>82.8165994189314</v>
      </c>
      <c r="G21" s="6">
        <f t="shared" si="5"/>
        <v>35.0846470322931</v>
      </c>
    </row>
    <row r="22" spans="1:7">
      <c r="A22" s="7">
        <v>9</v>
      </c>
      <c r="B22" s="5">
        <f t="shared" si="0"/>
        <v>0.055</v>
      </c>
      <c r="C22" s="6">
        <f t="shared" si="1"/>
        <v>71.2381419684846</v>
      </c>
      <c r="D22" s="6">
        <f t="shared" si="2"/>
        <v>30.784601854761</v>
      </c>
      <c r="E22" s="5">
        <f t="shared" si="3"/>
        <v>0.055</v>
      </c>
      <c r="F22" s="6">
        <f t="shared" si="4"/>
        <v>87.3715123869726</v>
      </c>
      <c r="G22" s="6">
        <f t="shared" si="5"/>
        <v>33.2463931354198</v>
      </c>
    </row>
    <row r="23" spans="1:7">
      <c r="A23" s="7">
        <v>10</v>
      </c>
      <c r="B23" s="5">
        <f t="shared" si="0"/>
        <v>0.055</v>
      </c>
      <c r="C23" s="6">
        <f t="shared" si="1"/>
        <v>75.1562397767512</v>
      </c>
      <c r="D23" s="6">
        <f t="shared" si="2"/>
        <v>29.5868984063738</v>
      </c>
      <c r="E23" s="5">
        <f t="shared" si="3"/>
        <v>0.055</v>
      </c>
      <c r="F23" s="6">
        <f t="shared" si="4"/>
        <v>92.1769455682561</v>
      </c>
      <c r="G23" s="6">
        <f t="shared" si="5"/>
        <v>31.5044542274436</v>
      </c>
    </row>
    <row r="25" spans="1:7">
      <c r="A25" s="1" t="s">
        <v>102</v>
      </c>
      <c r="B25" s="1" t="s">
        <v>37</v>
      </c>
      <c r="C25" s="1" t="s">
        <v>38</v>
      </c>
    </row>
    <row r="26" spans="1:7">
      <c r="A26" s="7" t="s">
        <v>103</v>
      </c>
      <c r="B26" s="6">
        <f>SUM(D14:D23)</f>
        <v>350.395636368487</v>
      </c>
      <c r="C26" s="6">
        <f>SUM(G14:G23)</f>
        <v>395.216568717253</v>
      </c>
    </row>
    <row r="27" spans="1:7">
      <c r="A27" s="7" t="s">
        <v>104</v>
      </c>
      <c r="B27" s="6">
        <f>C23*(1+B9)/(B6-B9)</f>
        <v>1856.58648129811</v>
      </c>
      <c r="C27" s="6">
        <f>F23*(1+C9)/(C6-C9)</f>
        <v>1667.09885701701</v>
      </c>
    </row>
    <row r="28" spans="1:7">
      <c r="A28" s="7" t="s">
        <v>105</v>
      </c>
      <c r="B28" s="6">
        <f>B27/(1+B6)^10</f>
        <v>730.885895409133</v>
      </c>
      <c r="C28" s="6">
        <f>C27/(1+C6)^10</f>
        <v>569.784985928227</v>
      </c>
    </row>
    <row r="29" spans="1:7">
      <c r="A29" s="10" t="s">
        <v>106</v>
      </c>
      <c r="B29" s="17">
        <f>B26+B28</f>
        <v>1081.28153177762</v>
      </c>
      <c r="C29" s="17">
        <f>C26+C28</f>
        <v>965.00155464548</v>
      </c>
    </row>
    <row r="30" spans="1:7">
      <c r="A30" s="7" t="s">
        <v>94</v>
      </c>
      <c r="B30" s="6">
        <f>B10</f>
        <v>1836</v>
      </c>
      <c r="C30" s="6">
        <f>C10</f>
        <v>1035</v>
      </c>
    </row>
    <row r="31" spans="1:7">
      <c r="A31" s="7" t="s">
        <v>107</v>
      </c>
      <c r="B31" s="5">
        <f>B29/B30-1</f>
        <v>-0.411066703824826</v>
      </c>
      <c r="C31" s="5">
        <f>C29/C30-1</f>
        <v>-0.0676313481686179</v>
      </c>
    </row>
    <row r="32" spans="1:7">
      <c r="A32" s="7" t="s">
        <v>108</v>
      </c>
      <c r="B32" s="5">
        <f>B28/B29</f>
        <v>0.675944121793666</v>
      </c>
      <c r="C32" s="5">
        <f>C28/C29</f>
        <v>0.590449811386628</v>
      </c>
    </row>
    <row r="33" spans="1:3">
      <c r="A33" s="7" t="s">
        <v>109</v>
      </c>
      <c r="B33" s="5">
        <f>(B6*B30-B5)/(B30+B5)</f>
        <v>0.0737296960681939</v>
      </c>
      <c r="C33" s="5">
        <f>(C6*C30-C5)/(C30+C5)</f>
        <v>0.0639884864265928</v>
      </c>
    </row>
    <row r="34" spans="1:3">
      <c r="A34" s="7" t="s">
        <v>110</v>
      </c>
      <c r="B34" s="6">
        <f>B5*(1+B7)/(B6-B7)*(1-((1+B7)/(1+B6))^B8)+B5*(1+B7)^B8*(1+B9)/((B6-B9)*(1+B6)^B8)</f>
        <v>1081.28153177762</v>
      </c>
      <c r="C34" s="6">
        <f>C5*(1+C7)/(C6-C7)*(1-((1+C7)/(1+C6))^C8)+C5*(1+C7)^C8*(1+C9)/((C6-C9)*(1+C6)^C8)</f>
        <v>965.00155464548</v>
      </c>
    </row>
    <row r="35" spans="1:3">
      <c r="A35" s="7" t="s">
        <v>111</v>
      </c>
      <c r="B35" s="20">
        <f>ROUND(B29-B34,6)</f>
        <v>0</v>
      </c>
      <c r="C35" s="20">
        <f>ROUND(C29-C34,6)</f>
        <v>0</v>
      </c>
    </row>
    <row r="36" spans="1:3">
      <c r="A36" s="9" t="s">
        <v>112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1" sqref="A1"/>
    </sheetView>
  </sheetViews>
  <sheetFormatPr defaultColWidth="9" defaultRowHeight="14.25" outlineLevelCol="7"/>
  <cols>
    <col min="1" max="1" width="50" customWidth="1"/>
    <col min="2" max="2" width="18" customWidth="1"/>
    <col min="3" max="3" width="10" customWidth="1"/>
    <col min="4" max="4" width="12" customWidth="1"/>
    <col min="5" max="5" width="10" customWidth="1"/>
    <col min="6" max="6" width="12" customWidth="1"/>
    <col min="7" max="7" width="18" customWidth="1"/>
    <col min="8" max="8" width="16" customWidth="1"/>
  </cols>
  <sheetData>
    <row r="1" ht="17.6" spans="1:8">
      <c r="A1" s="8" t="s">
        <v>113</v>
      </c>
    </row>
    <row r="2" spans="1:8">
      <c r="A2" s="9" t="s">
        <v>114</v>
      </c>
    </row>
    <row r="4" spans="1:8">
      <c r="A4" s="1" t="s">
        <v>88</v>
      </c>
      <c r="B4" s="1" t="s">
        <v>39</v>
      </c>
    </row>
    <row r="5" spans="1:8">
      <c r="A5" s="7" t="s">
        <v>115</v>
      </c>
      <c r="B5" s="3">
        <f>Inputs!D22</f>
        <v>527</v>
      </c>
    </row>
    <row r="6" spans="1:8">
      <c r="A6" s="7" t="s">
        <v>90</v>
      </c>
      <c r="B6" s="4">
        <f>Inputs!D15</f>
        <v>0.14687792</v>
      </c>
    </row>
    <row r="7" spans="1:8">
      <c r="A7" s="7" t="s">
        <v>92</v>
      </c>
      <c r="B7" s="22">
        <f>Inputs!D26</f>
        <v>5</v>
      </c>
    </row>
    <row r="8" spans="1:8">
      <c r="A8" s="7" t="s">
        <v>116</v>
      </c>
      <c r="B8" s="4">
        <f>Inputs!D28</f>
        <v>0.16</v>
      </c>
    </row>
    <row r="9" spans="1:8">
      <c r="A9" s="7" t="s">
        <v>117</v>
      </c>
      <c r="B9" s="4">
        <f>Inputs!D29</f>
        <v>0.16</v>
      </c>
    </row>
    <row r="10" spans="1:8">
      <c r="A10" s="7" t="s">
        <v>118</v>
      </c>
      <c r="B10" s="4">
        <f>Inputs!D30</f>
        <v>0.15</v>
      </c>
    </row>
    <row r="11" spans="1:8">
      <c r="A11" s="7" t="s">
        <v>93</v>
      </c>
      <c r="B11" s="4">
        <f>Inputs!D31</f>
        <v>0.055</v>
      </c>
    </row>
    <row r="12" spans="1:8">
      <c r="A12" s="7" t="s">
        <v>94</v>
      </c>
      <c r="B12" s="3">
        <f>Inputs!D13</f>
        <v>1310.6</v>
      </c>
    </row>
    <row r="13" spans="1:8">
      <c r="A13" s="7" t="s">
        <v>119</v>
      </c>
      <c r="B13" s="5">
        <f>1-B11/B10</f>
        <v>0.633333333333333</v>
      </c>
    </row>
    <row r="15" spans="1:8">
      <c r="A15" s="1" t="s">
        <v>95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124</v>
      </c>
      <c r="G15" s="1" t="s">
        <v>125</v>
      </c>
      <c r="H15" s="1" t="s">
        <v>126</v>
      </c>
    </row>
    <row r="16" spans="1:8">
      <c r="A16" s="7">
        <v>1</v>
      </c>
      <c r="B16" s="6">
        <f>$B$5</f>
        <v>527</v>
      </c>
      <c r="C16" s="5">
        <f t="shared" ref="C16:C25" si="0">IF(A16&lt;=$B$7,$B$8,$B$10)</f>
        <v>0.16</v>
      </c>
      <c r="D16" s="6">
        <f t="shared" ref="D16:D25" si="1">B16*C16</f>
        <v>84.32</v>
      </c>
      <c r="E16" s="5">
        <f t="shared" ref="E16:E25" si="2">IF(A16&lt;=$B$7,$B$9,$B$13)</f>
        <v>0.16</v>
      </c>
      <c r="F16" s="6">
        <f t="shared" ref="F16:F25" si="3">D16*E16</f>
        <v>13.4912</v>
      </c>
      <c r="G16" s="6">
        <f t="shared" ref="G16:G25" si="4">B16+D16-F16</f>
        <v>597.8288</v>
      </c>
      <c r="H16" s="6">
        <f t="shared" ref="H16:H25" si="5">F16/(1+$B$6)^A16</f>
        <v>11.7634141914599</v>
      </c>
    </row>
    <row r="17" spans="1:8">
      <c r="A17" s="7">
        <v>2</v>
      </c>
      <c r="B17" s="6">
        <f t="shared" ref="B17:B25" si="6">G16</f>
        <v>597.8288</v>
      </c>
      <c r="C17" s="5">
        <f t="shared" si="0"/>
        <v>0.16</v>
      </c>
      <c r="D17" s="6">
        <f t="shared" si="1"/>
        <v>95.652608</v>
      </c>
      <c r="E17" s="5">
        <f t="shared" si="2"/>
        <v>0.16</v>
      </c>
      <c r="F17" s="6">
        <f t="shared" si="3"/>
        <v>15.30441728</v>
      </c>
      <c r="G17" s="6">
        <f t="shared" si="4"/>
        <v>678.17699072</v>
      </c>
      <c r="H17" s="6">
        <f t="shared" si="5"/>
        <v>11.6354293914666</v>
      </c>
    </row>
    <row r="18" spans="1:8">
      <c r="A18" s="7">
        <v>3</v>
      </c>
      <c r="B18" s="6">
        <f t="shared" si="6"/>
        <v>678.17699072</v>
      </c>
      <c r="C18" s="5">
        <f t="shared" si="0"/>
        <v>0.16</v>
      </c>
      <c r="D18" s="6">
        <f t="shared" si="1"/>
        <v>108.5083185152</v>
      </c>
      <c r="E18" s="5">
        <f t="shared" si="2"/>
        <v>0.16</v>
      </c>
      <c r="F18" s="6">
        <f t="shared" si="3"/>
        <v>17.361330962432</v>
      </c>
      <c r="G18" s="6">
        <f t="shared" si="4"/>
        <v>769.323978272768</v>
      </c>
      <c r="H18" s="6">
        <f t="shared" si="5"/>
        <v>11.5088370536244</v>
      </c>
    </row>
    <row r="19" spans="1:8">
      <c r="A19" s="7">
        <v>4</v>
      </c>
      <c r="B19" s="6">
        <f t="shared" si="6"/>
        <v>769.323978272768</v>
      </c>
      <c r="C19" s="5">
        <f t="shared" si="0"/>
        <v>0.16</v>
      </c>
      <c r="D19" s="6">
        <f t="shared" si="1"/>
        <v>123.091836523643</v>
      </c>
      <c r="E19" s="5">
        <f t="shared" si="2"/>
        <v>0.16</v>
      </c>
      <c r="F19" s="6">
        <f t="shared" si="3"/>
        <v>19.6946938437829</v>
      </c>
      <c r="G19" s="6">
        <f t="shared" si="4"/>
        <v>872.721120952628</v>
      </c>
      <c r="H19" s="6">
        <f t="shared" si="5"/>
        <v>11.3836220280809</v>
      </c>
    </row>
    <row r="20" spans="1:8">
      <c r="A20" s="7">
        <v>5</v>
      </c>
      <c r="B20" s="6">
        <f t="shared" si="6"/>
        <v>872.721120952628</v>
      </c>
      <c r="C20" s="5">
        <f t="shared" si="0"/>
        <v>0.16</v>
      </c>
      <c r="D20" s="6">
        <f t="shared" si="1"/>
        <v>139.63537935242</v>
      </c>
      <c r="E20" s="5">
        <f t="shared" si="2"/>
        <v>0.16</v>
      </c>
      <c r="F20" s="6">
        <f t="shared" si="3"/>
        <v>22.3416606963873</v>
      </c>
      <c r="G20" s="6">
        <f t="shared" si="4"/>
        <v>990.014839608661</v>
      </c>
      <c r="H20" s="6">
        <f t="shared" si="5"/>
        <v>11.2597693298123</v>
      </c>
    </row>
    <row r="21" spans="1:8">
      <c r="A21" s="7">
        <v>6</v>
      </c>
      <c r="B21" s="6">
        <f t="shared" si="6"/>
        <v>990.014839608661</v>
      </c>
      <c r="C21" s="5">
        <f t="shared" si="0"/>
        <v>0.15</v>
      </c>
      <c r="D21" s="6">
        <f t="shared" si="1"/>
        <v>148.502225941299</v>
      </c>
      <c r="E21" s="5">
        <f t="shared" si="2"/>
        <v>0.633333333333333</v>
      </c>
      <c r="F21" s="6">
        <f t="shared" si="3"/>
        <v>94.0514097628228</v>
      </c>
      <c r="G21" s="6">
        <f t="shared" si="4"/>
        <v>1044.46565578714</v>
      </c>
      <c r="H21" s="6">
        <f t="shared" si="5"/>
        <v>41.3296911327705</v>
      </c>
    </row>
    <row r="22" spans="1:8">
      <c r="A22" s="7">
        <v>7</v>
      </c>
      <c r="B22" s="6">
        <f t="shared" si="6"/>
        <v>1044.46565578714</v>
      </c>
      <c r="C22" s="5">
        <f t="shared" si="0"/>
        <v>0.15</v>
      </c>
      <c r="D22" s="6">
        <f t="shared" si="1"/>
        <v>156.669848368071</v>
      </c>
      <c r="E22" s="5">
        <f t="shared" si="2"/>
        <v>0.633333333333333</v>
      </c>
      <c r="F22" s="6">
        <f t="shared" si="3"/>
        <v>99.2242372997781</v>
      </c>
      <c r="G22" s="6">
        <f t="shared" si="4"/>
        <v>1101.91126685543</v>
      </c>
      <c r="H22" s="6">
        <f t="shared" si="5"/>
        <v>38.0187144461486</v>
      </c>
    </row>
    <row r="23" spans="1:8">
      <c r="A23" s="7">
        <v>8</v>
      </c>
      <c r="B23" s="6">
        <f t="shared" si="6"/>
        <v>1101.91126685543</v>
      </c>
      <c r="C23" s="5">
        <f t="shared" si="0"/>
        <v>0.15</v>
      </c>
      <c r="D23" s="6">
        <f t="shared" si="1"/>
        <v>165.286690028315</v>
      </c>
      <c r="E23" s="5">
        <f t="shared" si="2"/>
        <v>0.633333333333333</v>
      </c>
      <c r="F23" s="6">
        <f t="shared" si="3"/>
        <v>104.681570351266</v>
      </c>
      <c r="G23" s="6">
        <f t="shared" si="4"/>
        <v>1162.51638653248</v>
      </c>
      <c r="H23" s="6">
        <f t="shared" si="5"/>
        <v>34.9729845184279</v>
      </c>
    </row>
    <row r="24" spans="1:8">
      <c r="A24" s="7">
        <v>9</v>
      </c>
      <c r="B24" s="6">
        <f t="shared" si="6"/>
        <v>1162.51638653248</v>
      </c>
      <c r="C24" s="5">
        <f t="shared" si="0"/>
        <v>0.15</v>
      </c>
      <c r="D24" s="6">
        <f t="shared" si="1"/>
        <v>174.377457979872</v>
      </c>
      <c r="E24" s="5">
        <f t="shared" si="2"/>
        <v>0.633333333333333</v>
      </c>
      <c r="F24" s="6">
        <f t="shared" si="3"/>
        <v>110.439056720585</v>
      </c>
      <c r="G24" s="6">
        <f t="shared" si="4"/>
        <v>1226.45478779177</v>
      </c>
      <c r="H24" s="6">
        <f t="shared" si="5"/>
        <v>32.1712520779382</v>
      </c>
    </row>
    <row r="25" spans="1:8">
      <c r="A25" s="7">
        <v>10</v>
      </c>
      <c r="B25" s="6">
        <f t="shared" si="6"/>
        <v>1226.45478779177</v>
      </c>
      <c r="C25" s="5">
        <f t="shared" si="0"/>
        <v>0.15</v>
      </c>
      <c r="D25" s="6">
        <f t="shared" si="1"/>
        <v>183.968218168765</v>
      </c>
      <c r="E25" s="5">
        <f t="shared" si="2"/>
        <v>0.633333333333333</v>
      </c>
      <c r="F25" s="6">
        <f t="shared" si="3"/>
        <v>116.513204840218</v>
      </c>
      <c r="G25" s="6">
        <f t="shared" si="4"/>
        <v>1293.90980112031</v>
      </c>
      <c r="H25" s="6">
        <f t="shared" si="5"/>
        <v>29.5939701605074</v>
      </c>
    </row>
    <row r="27" spans="1:8">
      <c r="A27" s="1" t="s">
        <v>102</v>
      </c>
      <c r="B27" s="1" t="s">
        <v>39</v>
      </c>
    </row>
    <row r="28" spans="1:8">
      <c r="A28" s="7" t="s">
        <v>103</v>
      </c>
      <c r="B28" s="6">
        <f>SUM(H16:H25)</f>
        <v>233.637684330237</v>
      </c>
    </row>
    <row r="29" spans="1:8">
      <c r="A29" s="7" t="s">
        <v>127</v>
      </c>
      <c r="B29" s="19">
        <f>(B10-B11)/(B6-B11)</f>
        <v>1.03398074314264</v>
      </c>
    </row>
    <row r="30" spans="1:8">
      <c r="A30" s="7" t="s">
        <v>128</v>
      </c>
      <c r="B30" s="6">
        <f>G25*B29</f>
        <v>1337.87781772193</v>
      </c>
    </row>
    <row r="31" spans="1:8">
      <c r="A31" s="7" t="s">
        <v>105</v>
      </c>
      <c r="B31" s="6">
        <f>B30/(1+B6)^10</f>
        <v>339.816557877402</v>
      </c>
    </row>
    <row r="32" spans="1:8">
      <c r="A32" s="10" t="s">
        <v>106</v>
      </c>
      <c r="B32" s="17">
        <f>B28+B31</f>
        <v>573.454242207638</v>
      </c>
    </row>
    <row r="33" spans="1:2">
      <c r="A33" s="7" t="s">
        <v>94</v>
      </c>
      <c r="B33" s="6">
        <f>B12</f>
        <v>1310.6</v>
      </c>
    </row>
    <row r="34" spans="1:2">
      <c r="A34" s="7" t="s">
        <v>107</v>
      </c>
      <c r="B34" s="5">
        <f>B32/B33-1</f>
        <v>-0.562449075074288</v>
      </c>
    </row>
    <row r="35" spans="1:2">
      <c r="A35" s="7" t="s">
        <v>129</v>
      </c>
      <c r="B35" s="19">
        <f>B32/B5</f>
        <v>1.08814846718717</v>
      </c>
    </row>
    <row r="36" spans="1:2">
      <c r="A36" s="7" t="s">
        <v>130</v>
      </c>
      <c r="B36" s="19">
        <f>B33/B5</f>
        <v>2.48690702087287</v>
      </c>
    </row>
    <row r="37" spans="1:2">
      <c r="A37" s="7" t="s">
        <v>131</v>
      </c>
      <c r="B37" s="5">
        <f>(B6*B36-Inputs!D23)/(B36-1)</f>
        <v>0.138725372577846</v>
      </c>
    </row>
    <row r="38" spans="1:2">
      <c r="A38" s="7" t="s">
        <v>132</v>
      </c>
      <c r="B38" s="6">
        <f>B9*B8*B5/(B6-B8*(1-B9))*(1-((1+B8*(1-B9))/(1+B6))^B7)+B5*(1+B8*(1-B9))^B7*(B10-B11)/(B6-B11)/(1+B6)^B7</f>
        <v>573.454242207639</v>
      </c>
    </row>
    <row r="39" spans="1:2">
      <c r="A39" s="7" t="s">
        <v>111</v>
      </c>
      <c r="B39" s="20">
        <f>ROUND(B32-B38,6)</f>
        <v>0</v>
      </c>
    </row>
    <row r="40" spans="1:2">
      <c r="A40" s="9" t="s">
        <v>133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4.25" outlineLevelCol="6"/>
  <cols>
    <col min="1" max="1" width="44" customWidth="1"/>
    <col min="2" max="3" width="14" customWidth="1"/>
    <col min="4" max="4" width="16" customWidth="1"/>
    <col min="5" max="6" width="10" customWidth="1"/>
    <col min="7" max="7" width="18" customWidth="1"/>
  </cols>
  <sheetData>
    <row r="1" ht="17.6" spans="1:3">
      <c r="A1" s="8" t="s">
        <v>134</v>
      </c>
    </row>
    <row r="2" spans="1:3">
      <c r="A2" s="9" t="s">
        <v>135</v>
      </c>
    </row>
    <row r="4" spans="1:3">
      <c r="A4" s="10" t="s">
        <v>136</v>
      </c>
    </row>
    <row r="5" spans="1:3">
      <c r="A5" s="1" t="s">
        <v>137</v>
      </c>
      <c r="B5" s="1" t="s">
        <v>138</v>
      </c>
      <c r="C5" s="1" t="s">
        <v>50</v>
      </c>
    </row>
    <row r="6" spans="1:3">
      <c r="A6" s="7" t="s">
        <v>139</v>
      </c>
      <c r="B6" s="14">
        <v>68</v>
      </c>
      <c r="C6" s="15">
        <v>1308</v>
      </c>
    </row>
    <row r="7" spans="1:3">
      <c r="A7" s="7" t="s">
        <v>140</v>
      </c>
      <c r="B7" s="14">
        <v>44.2</v>
      </c>
      <c r="C7" s="15">
        <v>4778</v>
      </c>
    </row>
    <row r="8" spans="1:3">
      <c r="A8" s="7" t="s">
        <v>141</v>
      </c>
      <c r="B8" s="14">
        <v>33.5</v>
      </c>
      <c r="C8" s="15">
        <v>374</v>
      </c>
    </row>
    <row r="9" spans="1:3">
      <c r="A9" s="10" t="s">
        <v>142</v>
      </c>
      <c r="B9" s="16">
        <f>MEDIAN(B6:B8)</f>
        <v>44.2</v>
      </c>
    </row>
    <row r="10" spans="1:3">
      <c r="A10" s="7" t="s">
        <v>143</v>
      </c>
      <c r="B10" s="3">
        <f>Inputs!B17</f>
        <v>46.9565217391304</v>
      </c>
    </row>
    <row r="11" spans="1:3">
      <c r="A11" s="10" t="s">
        <v>144</v>
      </c>
      <c r="B11" s="17">
        <f>B9*B10</f>
        <v>2075.47826086957</v>
      </c>
    </row>
    <row r="13" spans="1:3">
      <c r="A13" s="10" t="s">
        <v>145</v>
      </c>
    </row>
    <row r="14" spans="1:3">
      <c r="A14" s="1" t="s">
        <v>137</v>
      </c>
      <c r="B14" s="1" t="s">
        <v>138</v>
      </c>
      <c r="C14" s="1" t="s">
        <v>50</v>
      </c>
    </row>
    <row r="15" spans="1:3">
      <c r="A15" s="7" t="s">
        <v>146</v>
      </c>
      <c r="B15" s="14">
        <v>14</v>
      </c>
      <c r="C15" s="15">
        <v>2075</v>
      </c>
    </row>
    <row r="16" spans="1:3">
      <c r="A16" s="7" t="s">
        <v>147</v>
      </c>
      <c r="B16" s="14">
        <v>18.6</v>
      </c>
      <c r="C16" s="15">
        <v>1243</v>
      </c>
    </row>
    <row r="17" spans="1:7">
      <c r="A17" s="7" t="s">
        <v>148</v>
      </c>
      <c r="B17" s="14">
        <v>11.9</v>
      </c>
      <c r="C17" s="15">
        <v>159</v>
      </c>
    </row>
    <row r="18" spans="1:7">
      <c r="A18" s="10" t="s">
        <v>142</v>
      </c>
      <c r="B18" s="16">
        <f>MEDIAN(B15:B17)</f>
        <v>14</v>
      </c>
    </row>
    <row r="19" spans="1:7">
      <c r="A19" s="7" t="s">
        <v>149</v>
      </c>
      <c r="B19" s="3">
        <f>Inputs!C17</f>
        <v>76.6666666666667</v>
      </c>
    </row>
    <row r="20" spans="1:7">
      <c r="A20" s="10" t="s">
        <v>150</v>
      </c>
      <c r="B20" s="17">
        <f>B18*B19</f>
        <v>1073.33333333333</v>
      </c>
    </row>
    <row r="22" spans="1:7">
      <c r="A22" s="10" t="s">
        <v>151</v>
      </c>
    </row>
    <row r="23" spans="1:7">
      <c r="A23" s="1" t="s">
        <v>137</v>
      </c>
      <c r="B23" s="1" t="s">
        <v>138</v>
      </c>
      <c r="C23" s="1" t="s">
        <v>50</v>
      </c>
      <c r="D23" s="1" t="s">
        <v>152</v>
      </c>
      <c r="E23" s="1" t="s">
        <v>121</v>
      </c>
      <c r="F23" s="1" t="s">
        <v>153</v>
      </c>
      <c r="G23" s="1" t="s">
        <v>154</v>
      </c>
    </row>
    <row r="24" spans="1:7">
      <c r="A24" s="7" t="s">
        <v>155</v>
      </c>
      <c r="B24" s="14">
        <v>14.1</v>
      </c>
      <c r="C24" s="15">
        <v>721</v>
      </c>
      <c r="D24" s="15">
        <v>390</v>
      </c>
      <c r="E24" s="18">
        <v>0.136</v>
      </c>
      <c r="F24" s="19">
        <f>C24/D24</f>
        <v>1.84871794871795</v>
      </c>
      <c r="G24" s="20">
        <f>F24/E24</f>
        <v>13.5935143288084</v>
      </c>
    </row>
    <row r="25" spans="1:7">
      <c r="A25" s="7" t="s">
        <v>156</v>
      </c>
      <c r="B25" s="14">
        <v>20.8</v>
      </c>
      <c r="C25" s="15">
        <v>418</v>
      </c>
      <c r="D25" s="15">
        <v>182</v>
      </c>
      <c r="E25" s="18">
        <v>0.114</v>
      </c>
      <c r="F25" s="19">
        <f>C25/D25</f>
        <v>2.2967032967033</v>
      </c>
      <c r="G25" s="20">
        <f>F25/E25</f>
        <v>20.1465201465201</v>
      </c>
    </row>
    <row r="26" spans="1:7">
      <c r="A26" s="7" t="s">
        <v>157</v>
      </c>
      <c r="B26" s="14">
        <v>13.6</v>
      </c>
      <c r="C26" s="15">
        <v>1217</v>
      </c>
      <c r="D26" s="15">
        <v>712</v>
      </c>
      <c r="E26" s="18">
        <v>0.131</v>
      </c>
      <c r="F26" s="19">
        <f>C26/D26</f>
        <v>1.70926966292135</v>
      </c>
      <c r="G26" s="20">
        <f>F26/E26</f>
        <v>13.0478600223004</v>
      </c>
    </row>
    <row r="27" spans="1:7">
      <c r="A27" s="10" t="s">
        <v>158</v>
      </c>
      <c r="B27" s="16">
        <f>MEDIAN(B24:B26)</f>
        <v>14.1</v>
      </c>
      <c r="F27" s="21">
        <f>MEDIAN(F24:F26)</f>
        <v>1.84871794871795</v>
      </c>
      <c r="G27" s="16">
        <f>MEDIAN(G24:G26)</f>
        <v>13.5935143288084</v>
      </c>
    </row>
    <row r="28" spans="1:7">
      <c r="A28" s="7" t="s">
        <v>159</v>
      </c>
      <c r="B28" s="4">
        <f>Inputs!D23</f>
        <v>0.159</v>
      </c>
    </row>
    <row r="29" spans="1:7">
      <c r="A29" s="7" t="s">
        <v>160</v>
      </c>
      <c r="B29" s="3">
        <f>Inputs!D22</f>
        <v>527</v>
      </c>
    </row>
    <row r="30" spans="1:7">
      <c r="A30" s="7" t="s">
        <v>161</v>
      </c>
      <c r="B30" s="6">
        <f>F27*B29</f>
        <v>974.274358974359</v>
      </c>
    </row>
    <row r="31" spans="1:7">
      <c r="A31" s="10" t="s">
        <v>162</v>
      </c>
      <c r="B31" s="17">
        <f>G27*B28*B29</f>
        <v>1139.04134615385</v>
      </c>
    </row>
    <row r="32" spans="1:7">
      <c r="A32" s="9" t="s">
        <v>163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4.25" outlineLevelCol="5"/>
  <cols>
    <col min="1" max="1" width="34" customWidth="1"/>
    <col min="2" max="6" width="12" customWidth="1"/>
  </cols>
  <sheetData>
    <row r="1" ht="17.6" spans="1:6">
      <c r="A1" s="8" t="s">
        <v>164</v>
      </c>
    </row>
    <row r="2" spans="1:6">
      <c r="A2" s="9" t="s">
        <v>165</v>
      </c>
    </row>
    <row r="4" spans="1:6">
      <c r="A4" s="10" t="s">
        <v>166</v>
      </c>
    </row>
    <row r="5" spans="1:6">
      <c r="A5" s="10" t="s">
        <v>167</v>
      </c>
      <c r="B5" s="11">
        <f>Inputs!$B$31+(-0.015)</f>
        <v>0.04</v>
      </c>
      <c r="C5" s="11">
        <f>Inputs!$B$31+(-0.01)</f>
        <v>0.045</v>
      </c>
      <c r="D5" s="11">
        <f>Inputs!$B$31+(-0.005)</f>
        <v>0.05</v>
      </c>
      <c r="E5" s="11">
        <f>Inputs!$B$31+(0)</f>
        <v>0.055</v>
      </c>
      <c r="F5" s="11">
        <f>Inputs!$B$31+(0.005)</f>
        <v>0.06</v>
      </c>
    </row>
    <row r="6" spans="1:6">
      <c r="A6" s="11">
        <f>Inputs!$B$15+(-0.02)</f>
        <v>0.07770732</v>
      </c>
      <c r="B6" s="12">
        <f>IF(B$5&lt;$A6,Inputs!$B$20*(1+Inputs!$B$27)/($A6-Inputs!$B$27)*(1-((1+Inputs!$B$27)/(1+$A6))^Inputs!$B$26)+Inputs!$B$20*(1+Inputs!$B$27)^Inputs!$B$26*(1+B$5)/(($A6-B$5)*(1+$A6)^Inputs!$B$26),"")</f>
        <v>1291.59702395244</v>
      </c>
      <c r="C6" s="12">
        <f>IF(C$5&lt;$A6,Inputs!$B$20*(1+Inputs!$B$27)/($A6-Inputs!$B$27)*(1-((1+Inputs!$B$27)/(1+$A6))^Inputs!$B$26)+Inputs!$B$20*(1+Inputs!$B$27)^Inputs!$B$26*(1+C$5)/(($A6-C$5)*(1+$A6)^Inputs!$B$26),"")</f>
        <v>1464.41893061508</v>
      </c>
      <c r="D6" s="12">
        <f>IF(D$5&lt;$A6,Inputs!$B$20*(1+Inputs!$B$27)/($A6-Inputs!$B$27)*(1-((1+Inputs!$B$27)/(1+$A6))^Inputs!$B$26)+Inputs!$B$20*(1+Inputs!$B$27)^Inputs!$B$26*(1+D$5)/(($A6-D$5)*(1+$A6)^Inputs!$B$26),"")</f>
        <v>1699.61493432595</v>
      </c>
      <c r="E6" s="12">
        <f>IF(E$5&lt;$A6,Inputs!$B$20*(1+Inputs!$B$27)/($A6-Inputs!$B$27)*(1-((1+Inputs!$B$27)/(1+$A6))^Inputs!$B$26)+Inputs!$B$20*(1+Inputs!$B$27)^Inputs!$B$26*(1+E$5)/(($A6-E$5)*(1+$A6)^Inputs!$B$26),"")</f>
        <v>2038.3881121423</v>
      </c>
      <c r="F6" s="12">
        <f>IF(F$5&lt;$A6,Inputs!$B$20*(1+Inputs!$B$27)/($A6-Inputs!$B$27)*(1-((1+Inputs!$B$27)/(1+$A6))^Inputs!$B$26)+Inputs!$B$20*(1+Inputs!$B$27)^Inputs!$B$26*(1+F$5)/(($A6-F$5)*(1+$A6)^Inputs!$B$26),"")</f>
        <v>2568.47944415497</v>
      </c>
    </row>
    <row r="7" spans="1:6">
      <c r="A7" s="11">
        <f>Inputs!$B$15+(-0.01)</f>
        <v>0.08770732</v>
      </c>
      <c r="B7" s="12">
        <f>IF(B$5&lt;$A7,Inputs!$B$20*(1+Inputs!$B$27)/($A7-Inputs!$B$27)*(1-((1+Inputs!$B$27)/(1+$A7))^Inputs!$B$26)+Inputs!$B$20*(1+Inputs!$B$27)^Inputs!$B$26*(1+B$5)/(($A7-B$5)*(1+$A7)^Inputs!$B$26),"")</f>
        <v>1018.56477367808</v>
      </c>
      <c r="C7" s="12">
        <f>IF(C$5&lt;$A7,Inputs!$B$20*(1+Inputs!$B$27)/($A7-Inputs!$B$27)*(1-((1+Inputs!$B$27)/(1+$A7))^Inputs!$B$26)+Inputs!$B$20*(1+Inputs!$B$27)^Inputs!$B$26*(1+C$5)/(($A7-C$5)*(1+$A7)^Inputs!$B$26),"")</f>
        <v>1119.38257107891</v>
      </c>
      <c r="D7" s="12">
        <f>IF(D$5&lt;$A7,Inputs!$B$20*(1+Inputs!$B$27)/($A7-Inputs!$B$27)*(1-((1+Inputs!$B$27)/(1+$A7))^Inputs!$B$26)+Inputs!$B$20*(1+Inputs!$B$27)^Inputs!$B$26*(1+D$5)/(($A7-D$5)*(1+$A7)^Inputs!$B$26),"")</f>
        <v>1246.93729844475</v>
      </c>
      <c r="E7" s="12">
        <f>IF(E$5&lt;$A7,Inputs!$B$20*(1+Inputs!$B$27)/($A7-Inputs!$B$27)*(1-((1+Inputs!$B$27)/(1+$A7))^Inputs!$B$26)+Inputs!$B$20*(1+Inputs!$B$27)^Inputs!$B$26*(1+E$5)/(($A7-E$5)*(1+$A7)^Inputs!$B$26),"")</f>
        <v>1413.49085768243</v>
      </c>
      <c r="F7" s="12">
        <f>IF(F$5&lt;$A7,Inputs!$B$20*(1+Inputs!$B$27)/($A7-Inputs!$B$27)*(1-((1+Inputs!$B$27)/(1+$A7))^Inputs!$B$26)+Inputs!$B$20*(1+Inputs!$B$27)^Inputs!$B$26*(1+F$5)/(($A7-F$5)*(1+$A7)^Inputs!$B$26),"")</f>
        <v>1640.15617050642</v>
      </c>
    </row>
    <row r="8" spans="1:6">
      <c r="A8" s="11">
        <f>Inputs!$B$15+(0)</f>
        <v>0.09770732</v>
      </c>
      <c r="B8" s="12">
        <f>IF(B$5&lt;$A8,Inputs!$B$20*(1+Inputs!$B$27)/($A8-Inputs!$B$27)*(1-((1+Inputs!$B$27)/(1+$A8))^Inputs!$B$26)+Inputs!$B$20*(1+Inputs!$B$27)^Inputs!$B$26*(1+B$5)/(($A8-B$5)*(1+$A8)^Inputs!$B$26),"")</f>
        <v>840.227423062342</v>
      </c>
      <c r="C8" s="12">
        <f>IF(C$5&lt;$A8,Inputs!$B$20*(1+Inputs!$B$27)/($A8-Inputs!$B$27)*(1-((1+Inputs!$B$27)/(1+$A8))^Inputs!$B$26)+Inputs!$B$20*(1+Inputs!$B$27)^Inputs!$B$26*(1+C$5)/(($A8-C$5)*(1+$A8)^Inputs!$B$26),"")</f>
        <v>905.33397093348</v>
      </c>
      <c r="D8" s="12">
        <f>IF(D$5&lt;$A8,Inputs!$B$20*(1+Inputs!$B$27)/($A8-Inputs!$B$27)*(1-((1+Inputs!$B$27)/(1+$A8))^Inputs!$B$26)+Inputs!$B$20*(1+Inputs!$B$27)^Inputs!$B$26*(1+D$5)/(($A8-D$5)*(1+$A8)^Inputs!$B$26),"")</f>
        <v>984.087595997622</v>
      </c>
      <c r="E8" s="13">
        <f>IF(E$5&lt;$A8,Inputs!$B$20*(1+Inputs!$B$27)/($A8-Inputs!$B$27)*(1-((1+Inputs!$B$27)/(1+$A8))^Inputs!$B$26)+Inputs!$B$20*(1+Inputs!$B$27)^Inputs!$B$26*(1+E$5)/(($A8-E$5)*(1+$A8)^Inputs!$B$26),"")</f>
        <v>1081.28153177762</v>
      </c>
      <c r="F8" s="12">
        <f>IF(F$5&lt;$A8,Inputs!$B$20*(1+Inputs!$B$27)/($A8-Inputs!$B$27)*(1-((1+Inputs!$B$27)/(1+$A8))^Inputs!$B$26)+Inputs!$B$20*(1+Inputs!$B$27)^Inputs!$B$26*(1+F$5)/(($A8-F$5)*(1+$A8)^Inputs!$B$26),"")</f>
        <v>1204.25134762016</v>
      </c>
    </row>
    <row r="9" spans="1:6">
      <c r="A9" s="11">
        <f>Inputs!$B$15+(0.01)</f>
        <v>0.10770732</v>
      </c>
      <c r="B9" s="12">
        <f>IF(B$5&lt;$A9,Inputs!$B$20*(1+Inputs!$B$27)/($A9-Inputs!$B$27)*(1-((1+Inputs!$B$27)/(1+$A9))^Inputs!$B$26)+Inputs!$B$20*(1+Inputs!$B$27)^Inputs!$B$26*(1+B$5)/(($A9-B$5)*(1+$A9)^Inputs!$B$26),"")</f>
        <v>714.62449512987</v>
      </c>
      <c r="C9" s="12">
        <f>IF(C$5&lt;$A9,Inputs!$B$20*(1+Inputs!$B$27)/($A9-Inputs!$B$27)*(1-((1+Inputs!$B$27)/(1+$A9))^Inputs!$B$26)+Inputs!$B$20*(1+Inputs!$B$27)^Inputs!$B$26*(1+C$5)/(($A9-C$5)*(1+$A9)^Inputs!$B$26),"")</f>
        <v>759.604425921308</v>
      </c>
      <c r="D9" s="12">
        <f>IF(D$5&lt;$A9,Inputs!$B$20*(1+Inputs!$B$27)/($A9-Inputs!$B$27)*(1-((1+Inputs!$B$27)/(1+$A9))^Inputs!$B$26)+Inputs!$B$20*(1+Inputs!$B$27)^Inputs!$B$26*(1+D$5)/(($A9-D$5)*(1+$A9)^Inputs!$B$26),"")</f>
        <v>812.378849818897</v>
      </c>
      <c r="E9" s="12">
        <f>IF(E$5&lt;$A9,Inputs!$B$20*(1+Inputs!$B$27)/($A9-Inputs!$B$27)*(1-((1+Inputs!$B$27)/(1+$A9))^Inputs!$B$26)+Inputs!$B$20*(1+Inputs!$B$27)^Inputs!$B$26*(1+E$5)/(($A9-E$5)*(1+$A9)^Inputs!$B$26),"")</f>
        <v>875.166005135497</v>
      </c>
      <c r="F9" s="12">
        <f>IF(F$5&lt;$A9,Inputs!$B$20*(1+Inputs!$B$27)/($A9-Inputs!$B$27)*(1-((1+Inputs!$B$27)/(1+$A9))^Inputs!$B$26)+Inputs!$B$20*(1+Inputs!$B$27)^Inputs!$B$26*(1+F$5)/(($A9-F$5)*(1+$A9)^Inputs!$B$26),"")</f>
        <v>951.114066433946</v>
      </c>
    </row>
    <row r="10" spans="1:6">
      <c r="A10" s="11">
        <f>Inputs!$B$15+(0.02)</f>
        <v>0.11770732</v>
      </c>
      <c r="B10" s="12">
        <f>IF(B$5&lt;$A10,Inputs!$B$20*(1+Inputs!$B$27)/($A10-Inputs!$B$27)*(1-((1+Inputs!$B$27)/(1+$A10))^Inputs!$B$26)+Inputs!$B$20*(1+Inputs!$B$27)^Inputs!$B$26*(1+B$5)/(($A10-B$5)*(1+$A10)^Inputs!$B$26),"")</f>
        <v>621.394887343001</v>
      </c>
      <c r="C10" s="12">
        <f>IF(C$5&lt;$A10,Inputs!$B$20*(1+Inputs!$B$27)/($A10-Inputs!$B$27)*(1-((1+Inputs!$B$27)/(1+$A10))^Inputs!$B$26)+Inputs!$B$20*(1+Inputs!$B$27)^Inputs!$B$26*(1+C$5)/(($A10-C$5)*(1+$A10)^Inputs!$B$26),"")</f>
        <v>654.002597413008</v>
      </c>
      <c r="D10" s="12">
        <f>IF(D$5&lt;$A10,Inputs!$B$20*(1+Inputs!$B$27)/($A10-Inputs!$B$27)*(1-((1+Inputs!$B$27)/(1+$A10))^Inputs!$B$26)+Inputs!$B$20*(1+Inputs!$B$27)^Inputs!$B$26*(1+D$5)/(($A10-D$5)*(1+$A10)^Inputs!$B$26),"")</f>
        <v>691.426287508515</v>
      </c>
      <c r="E10" s="12">
        <f>IF(E$5&lt;$A10,Inputs!$B$20*(1+Inputs!$B$27)/($A10-Inputs!$B$27)*(1-((1+Inputs!$B$27)/(1+$A10))^Inputs!$B$26)+Inputs!$B$20*(1+Inputs!$B$27)^Inputs!$B$26*(1+E$5)/(($A10-E$5)*(1+$A10)^Inputs!$B$26),"")</f>
        <v>734.817971467498</v>
      </c>
      <c r="F10" s="12">
        <f>IF(F$5&lt;$A10,Inputs!$B$20*(1+Inputs!$B$27)/($A10-Inputs!$B$27)*(1-((1+Inputs!$B$27)/(1+$A10))^Inputs!$B$26)+Inputs!$B$20*(1+Inputs!$B$27)^Inputs!$B$26*(1+F$5)/(($A10-F$5)*(1+$A10)^Inputs!$B$26),"")</f>
        <v>785.72892403209</v>
      </c>
    </row>
    <row r="11" spans="1:6">
      <c r="A11" s="7" t="s">
        <v>94</v>
      </c>
      <c r="B11" s="3">
        <f>Inputs!B13</f>
        <v>1836</v>
      </c>
    </row>
    <row r="14" spans="1:6">
      <c r="A14" s="10" t="s">
        <v>168</v>
      </c>
    </row>
    <row r="15" spans="1:6">
      <c r="A15" s="10" t="s">
        <v>167</v>
      </c>
      <c r="B15" s="11">
        <f>Inputs!$C$31+(-0.015)</f>
        <v>0.04</v>
      </c>
      <c r="C15" s="11">
        <f>Inputs!$C$31+(-0.01)</f>
        <v>0.045</v>
      </c>
      <c r="D15" s="11">
        <f>Inputs!$C$31+(-0.005)</f>
        <v>0.05</v>
      </c>
      <c r="E15" s="11">
        <f>Inputs!$C$31+(0)</f>
        <v>0.055</v>
      </c>
      <c r="F15" s="11">
        <f>Inputs!$C$31+(0.005)</f>
        <v>0.06</v>
      </c>
    </row>
    <row r="16" spans="1:6">
      <c r="A16" s="11">
        <f>Inputs!$C$15+(-0.02)</f>
        <v>0.09333288</v>
      </c>
      <c r="B16" s="12">
        <f>IF(B$15&lt;$A16,Inputs!$C$20*(1+Inputs!$C$27)/($A16-Inputs!$C$27)*(1-((1+Inputs!$C$27)/(1+$A16))^Inputs!$C$26)+Inputs!$C$20*(1+Inputs!$C$27)^Inputs!$C$26*(1+B$15)/(($A16-B$15)*(1+$A16)^Inputs!$C$26),"")</f>
        <v>1111.67256309421</v>
      </c>
      <c r="C16" s="12">
        <f>IF(C$15&lt;$A16,Inputs!$C$20*(1+Inputs!$C$27)/($A16-Inputs!$C$27)*(1-((1+Inputs!$C$27)/(1+$A16))^Inputs!$C$26)+Inputs!$C$20*(1+Inputs!$C$27)^Inputs!$C$26*(1+C$15)/(($A16-C$15)*(1+$A16)^Inputs!$C$26),"")</f>
        <v>1207.41019324622</v>
      </c>
      <c r="D16" s="12">
        <f>IF(D$15&lt;$A16,Inputs!$C$20*(1+Inputs!$C$27)/($A16-Inputs!$C$27)*(1-((1+Inputs!$C$27)/(1+$A16))^Inputs!$C$26)+Inputs!$C$20*(1+Inputs!$C$27)^Inputs!$C$26*(1+D$15)/(($A16-D$15)*(1+$A16)^Inputs!$C$26),"")</f>
        <v>1325.2413537964</v>
      </c>
      <c r="E16" s="12">
        <f>IF(E$15&lt;$A16,Inputs!$C$20*(1+Inputs!$C$27)/($A16-Inputs!$C$27)*(1-((1+Inputs!$C$27)/(1+$A16))^Inputs!$C$26)+Inputs!$C$20*(1+Inputs!$C$27)^Inputs!$C$26*(1+E$15)/(($A16-E$15)*(1+$A16)^Inputs!$C$26),"")</f>
        <v>1473.81144148959</v>
      </c>
      <c r="F16" s="12">
        <f>IF(F$15&lt;$A16,Inputs!$C$20*(1+Inputs!$C$27)/($A16-Inputs!$C$27)*(1-((1+Inputs!$C$27)/(1+$A16))^Inputs!$C$26)+Inputs!$C$20*(1+Inputs!$C$27)^Inputs!$C$26*(1+F$15)/(($A16-F$15)*(1+$A16)^Inputs!$C$26),"")</f>
        <v>1666.95316166494</v>
      </c>
    </row>
    <row r="17" spans="1:6">
      <c r="A17" s="11">
        <f>Inputs!$C$15+(-0.01)</f>
        <v>0.10333288</v>
      </c>
      <c r="B17" s="12">
        <f>IF(B$15&lt;$A17,Inputs!$C$20*(1+Inputs!$C$27)/($A17-Inputs!$C$27)*(1-((1+Inputs!$C$27)/(1+$A17))^Inputs!$C$26)+Inputs!$C$20*(1+Inputs!$C$27)^Inputs!$C$26*(1+B$15)/(($A17-B$15)*(1+$A17)^Inputs!$C$26),"")</f>
        <v>933.519234979394</v>
      </c>
      <c r="C17" s="12">
        <f>IF(C$15&lt;$A17,Inputs!$C$20*(1+Inputs!$C$27)/($A17-Inputs!$C$27)*(1-((1+Inputs!$C$27)/(1+$A17))^Inputs!$C$26)+Inputs!$C$20*(1+Inputs!$C$27)^Inputs!$C$26*(1+C$15)/(($A17-C$15)*(1+$A17)^Inputs!$C$26),"")</f>
        <v>997.930394930124</v>
      </c>
      <c r="D17" s="12">
        <f>IF(D$15&lt;$A17,Inputs!$C$20*(1+Inputs!$C$27)/($A17-Inputs!$C$27)*(1-((1+Inputs!$C$27)/(1+$A17))^Inputs!$C$26)+Inputs!$C$20*(1+Inputs!$C$27)^Inputs!$C$26*(1+D$15)/(($A17-D$15)*(1+$A17)^Inputs!$C$26),"")</f>
        <v>1074.41875002778</v>
      </c>
      <c r="E17" s="12">
        <f>IF(E$15&lt;$A17,Inputs!$C$20*(1+Inputs!$C$27)/($A17-Inputs!$C$27)*(1-((1+Inputs!$C$27)/(1+$A17))^Inputs!$C$26)+Inputs!$C$20*(1+Inputs!$C$27)^Inputs!$C$26*(1+E$15)/(($A17-E$15)*(1+$A17)^Inputs!$C$26),"")</f>
        <v>1166.73243047282</v>
      </c>
      <c r="F17" s="12">
        <f>IF(F$15&lt;$A17,Inputs!$C$20*(1+Inputs!$C$27)/($A17-Inputs!$C$27)*(1-((1+Inputs!$C$27)/(1+$A17))^Inputs!$C$26)+Inputs!$C$20*(1+Inputs!$C$27)^Inputs!$C$26*(1+F$15)/(($A17-F$15)*(1+$A17)^Inputs!$C$26),"")</f>
        <v>1280.34949080977</v>
      </c>
    </row>
    <row r="18" spans="1:6">
      <c r="A18" s="11">
        <f>Inputs!$C$15+(0)</f>
        <v>0.11333288</v>
      </c>
      <c r="B18" s="12">
        <f>IF(B$15&lt;$A18,Inputs!$C$20*(1+Inputs!$C$27)/($A18-Inputs!$C$27)*(1-((1+Inputs!$C$27)/(1+$A18))^Inputs!$C$26)+Inputs!$C$20*(1+Inputs!$C$27)^Inputs!$C$26*(1+B$15)/(($A18-B$15)*(1+$A18)^Inputs!$C$26),"")</f>
        <v>804.033767923981</v>
      </c>
      <c r="C18" s="12">
        <f>IF(C$15&lt;$A18,Inputs!$C$20*(1+Inputs!$C$27)/($A18-Inputs!$C$27)*(1-((1+Inputs!$C$27)/(1+$A18))^Inputs!$C$26)+Inputs!$C$20*(1+Inputs!$C$27)^Inputs!$C$26*(1+C$15)/(($A18-C$15)*(1+$A18)^Inputs!$C$26),"")</f>
        <v>849.83755758176</v>
      </c>
      <c r="D18" s="12">
        <f>IF(D$15&lt;$A18,Inputs!$C$20*(1+Inputs!$C$27)/($A18-Inputs!$C$27)*(1-((1+Inputs!$C$27)/(1+$A18))^Inputs!$C$26)+Inputs!$C$20*(1+Inputs!$C$27)^Inputs!$C$26*(1+D$15)/(($A18-D$15)*(1+$A18)^Inputs!$C$26),"")</f>
        <v>902.87357632146</v>
      </c>
      <c r="E18" s="13">
        <f>IF(E$15&lt;$A18,Inputs!$C$20*(1+Inputs!$C$27)/($A18-Inputs!$C$27)*(1-((1+Inputs!$C$27)/(1+$A18))^Inputs!$C$26)+Inputs!$C$20*(1+Inputs!$C$27)^Inputs!$C$26*(1+E$15)/(($A18-E$15)*(1+$A18)^Inputs!$C$26),"")</f>
        <v>965.00155464548</v>
      </c>
      <c r="F18" s="12">
        <f>IF(F$15&lt;$A18,Inputs!$C$20*(1+Inputs!$C$27)/($A18-Inputs!$C$27)*(1-((1+Inputs!$C$27)/(1+$A18))^Inputs!$C$26)+Inputs!$C$20*(1+Inputs!$C$27)^Inputs!$C$26*(1+F$15)/(($A18-F$15)*(1+$A18)^Inputs!$C$26),"")</f>
        <v>1038.77862792256</v>
      </c>
    </row>
    <row r="19" spans="1:6">
      <c r="A19" s="11">
        <f>Inputs!$C$15+(0.01)</f>
        <v>0.12333288</v>
      </c>
      <c r="B19" s="12">
        <f>IF(B$15&lt;$A19,Inputs!$C$20*(1+Inputs!$C$27)/($A19-Inputs!$C$27)*(1-((1+Inputs!$C$27)/(1+$A19))^Inputs!$C$26)+Inputs!$C$20*(1+Inputs!$C$27)^Inputs!$C$26*(1+B$15)/(($A19-B$15)*(1+$A19)^Inputs!$C$26),"")</f>
        <v>705.692380063066</v>
      </c>
      <c r="C19" s="12">
        <f>IF(C$15&lt;$A19,Inputs!$C$20*(1+Inputs!$C$27)/($A19-Inputs!$C$27)*(1-((1+Inputs!$C$27)/(1+$A19))^Inputs!$C$26)+Inputs!$C$20*(1+Inputs!$C$27)^Inputs!$C$26*(1+C$15)/(($A19-C$15)*(1+$A19)^Inputs!$C$26),"")</f>
        <v>739.618613813524</v>
      </c>
      <c r="D19" s="12">
        <f>IF(D$15&lt;$A19,Inputs!$C$20*(1+Inputs!$C$27)/($A19-Inputs!$C$27)*(1-((1+Inputs!$C$27)/(1+$A19))^Inputs!$C$26)+Inputs!$C$20*(1+Inputs!$C$27)^Inputs!$C$26*(1+D$15)/(($A19-D$15)*(1+$A19)^Inputs!$C$26),"")</f>
        <v>778.171180765469</v>
      </c>
      <c r="E19" s="12">
        <f>IF(E$15&lt;$A19,Inputs!$C$20*(1+Inputs!$C$27)/($A19-Inputs!$C$27)*(1-((1+Inputs!$C$27)/(1+$A19))^Inputs!$C$26)+Inputs!$C$20*(1+Inputs!$C$27)^Inputs!$C$26*(1+E$15)/(($A19-E$15)*(1+$A19)^Inputs!$C$26),"")</f>
        <v>822.365624212585</v>
      </c>
      <c r="F19" s="12">
        <f>IF(F$15&lt;$A19,Inputs!$C$20*(1+Inputs!$C$27)/($A19-Inputs!$C$27)*(1-((1+Inputs!$C$27)/(1+$A19))^Inputs!$C$26)+Inputs!$C$20*(1+Inputs!$C$27)^Inputs!$C$26*(1+F$15)/(($A19-F$15)*(1+$A19)^Inputs!$C$26),"")</f>
        <v>873.538187626316</v>
      </c>
    </row>
    <row r="20" spans="1:6">
      <c r="A20" s="11">
        <f>Inputs!$C$15+(0.02)</f>
        <v>0.13333288</v>
      </c>
      <c r="B20" s="12">
        <f>IF(B$15&lt;$A20,Inputs!$C$20*(1+Inputs!$C$27)/($A20-Inputs!$C$27)*(1-((1+Inputs!$C$27)/(1+$A20))^Inputs!$C$26)+Inputs!$C$20*(1+Inputs!$C$27)^Inputs!$C$26*(1+B$15)/(($A20-B$15)*(1+$A20)^Inputs!$C$26),"")</f>
        <v>628.481680211259</v>
      </c>
      <c r="C20" s="12">
        <f>IF(C$15&lt;$A20,Inputs!$C$20*(1+Inputs!$C$27)/($A20-Inputs!$C$27)*(1-((1+Inputs!$C$27)/(1+$A20))^Inputs!$C$26)+Inputs!$C$20*(1+Inputs!$C$27)^Inputs!$C$26*(1+C$15)/(($A20-C$15)*(1+$A20)^Inputs!$C$26),"")</f>
        <v>654.408127372122</v>
      </c>
      <c r="D20" s="12">
        <f>IF(D$15&lt;$A20,Inputs!$C$20*(1+Inputs!$C$27)/($A20-Inputs!$C$27)*(1-((1+Inputs!$C$27)/(1+$A20))^Inputs!$C$26)+Inputs!$C$20*(1+Inputs!$C$27)^Inputs!$C$26*(1+D$15)/(($A20-D$15)*(1+$A20)^Inputs!$C$26),"")</f>
        <v>683.445765117165</v>
      </c>
      <c r="E20" s="12">
        <f>IF(E$15&lt;$A20,Inputs!$C$20*(1+Inputs!$C$27)/($A20-Inputs!$C$27)*(1-((1+Inputs!$C$27)/(1+$A20))^Inputs!$C$26)+Inputs!$C$20*(1+Inputs!$C$27)^Inputs!$C$26*(1+E$15)/(($A20-E$15)*(1+$A20)^Inputs!$C$26),"")</f>
        <v>716.190356793308</v>
      </c>
      <c r="F20" s="12">
        <f>IF(F$15&lt;$A20,Inputs!$C$20*(1+Inputs!$C$27)/($A20-Inputs!$C$27)*(1-((1+Inputs!$C$27)/(1+$A20))^Inputs!$C$26)+Inputs!$C$20*(1+Inputs!$C$27)^Inputs!$C$26*(1+F$15)/(($A20-F$15)*(1+$A20)^Inputs!$C$26),"")</f>
        <v>753.400147664703</v>
      </c>
    </row>
    <row r="21" spans="1:6">
      <c r="A21" s="7" t="s">
        <v>94</v>
      </c>
      <c r="B21" s="3">
        <f>Inputs!C13</f>
        <v>1035</v>
      </c>
    </row>
    <row r="24" spans="1:6">
      <c r="A24" s="10" t="s">
        <v>169</v>
      </c>
    </row>
    <row r="25" spans="1:6">
      <c r="A25" s="10" t="s">
        <v>167</v>
      </c>
      <c r="B25" s="11">
        <f>Inputs!$D$31+(-0.015)</f>
        <v>0.04</v>
      </c>
      <c r="C25" s="11">
        <f>Inputs!$D$31+(-0.01)</f>
        <v>0.045</v>
      </c>
      <c r="D25" s="11">
        <f>Inputs!$D$31+(-0.005)</f>
        <v>0.05</v>
      </c>
      <c r="E25" s="11">
        <f>Inputs!$D$31+(0)</f>
        <v>0.055</v>
      </c>
      <c r="F25" s="11">
        <f>Inputs!$D$31+(0.005)</f>
        <v>0.06</v>
      </c>
    </row>
    <row r="26" spans="1:6">
      <c r="A26" s="11">
        <f>Inputs!$D$15+(-0.02)</f>
        <v>0.12687792</v>
      </c>
      <c r="B26" s="12">
        <f>IF(B$25&lt;$A26,Inputs!$D$29*Inputs!$D$28*Inputs!$D$22/($A26-Inputs!$D$28*(1-Inputs!$D$29))*(1-((1+Inputs!$D$28*(1-Inputs!$D$29))/(1+$A26))^Inputs!$D$26)+Inputs!$D$22*(1+Inputs!$D$28*(1-Inputs!$D$29))^Inputs!$D$26*(Inputs!$D$30-B$25)/($A26-B$25)/(1+$A26)^Inputs!$D$26,"")</f>
        <v>750.49317689064</v>
      </c>
      <c r="C26" s="12">
        <f>IF(C$25&lt;$A26,Inputs!$D$29*Inputs!$D$28*Inputs!$D$22/($A26-Inputs!$D$28*(1-Inputs!$D$29))*(1-((1+Inputs!$D$28*(1-Inputs!$D$29))/(1+$A26))^Inputs!$D$26)+Inputs!$D$22*(1+Inputs!$D$28*(1-Inputs!$D$29))^Inputs!$D$26*(Inputs!$D$30-C$25)/($A26-C$25)/(1+$A26)^Inputs!$D$26,"")</f>
        <v>759.347962385801</v>
      </c>
      <c r="D26" s="12">
        <f>IF(D$25&lt;$A26,Inputs!$D$29*Inputs!$D$28*Inputs!$D$22/($A26-Inputs!$D$28*(1-Inputs!$D$29))*(1-((1+Inputs!$D$28*(1-Inputs!$D$29))/(1+$A26))^Inputs!$D$26)+Inputs!$D$22*(1+Inputs!$D$28*(1-Inputs!$D$29))^Inputs!$D$26*(Inputs!$D$30-D$25)/($A26-D$25)/(1+$A26)^Inputs!$D$26,"")</f>
        <v>769.354546146988</v>
      </c>
      <c r="E26" s="12">
        <f>IF(E$25&lt;$A26,Inputs!$D$29*Inputs!$D$28*Inputs!$D$22/($A26-Inputs!$D$28*(1-Inputs!$D$29))*(1-((1+Inputs!$D$28*(1-Inputs!$D$29))/(1+$A26))^Inputs!$D$26)+Inputs!$D$22*(1+Inputs!$D$28*(1-Inputs!$D$29))^Inputs!$D$26*(Inputs!$D$30-E$25)/($A26-E$25)/(1+$A26)^Inputs!$D$26,"")</f>
        <v>780.75329369939</v>
      </c>
      <c r="F26" s="12">
        <f>IF(F$25&lt;$A26,Inputs!$D$29*Inputs!$D$28*Inputs!$D$22/($A26-Inputs!$D$28*(1-Inputs!$D$29))*(1-((1+Inputs!$D$28*(1-Inputs!$D$29))/(1+$A26))^Inputs!$D$26)+Inputs!$D$22*(1+Inputs!$D$28*(1-Inputs!$D$29))^Inputs!$D$26*(Inputs!$D$30-F$25)/($A26-F$25)/(1+$A26)^Inputs!$D$26,"")</f>
        <v>793.856452446458</v>
      </c>
    </row>
    <row r="27" spans="1:6">
      <c r="A27" s="11">
        <f>Inputs!$D$15+(-0.01)</f>
        <v>0.13687792</v>
      </c>
      <c r="B27" s="12">
        <f>IF(B$25&lt;$A27,Inputs!$D$29*Inputs!$D$28*Inputs!$D$22/($A27-Inputs!$D$28*(1-Inputs!$D$29))*(1-((1+Inputs!$D$28*(1-Inputs!$D$29))/(1+$A27))^Inputs!$D$26)+Inputs!$D$22*(1+Inputs!$D$28*(1-Inputs!$D$29))^Inputs!$D$26*(Inputs!$D$30-B$25)/($A27-B$25)/(1+$A27)^Inputs!$D$26,"")</f>
        <v>650.965553548672</v>
      </c>
      <c r="C27" s="12">
        <f>IF(C$25&lt;$A27,Inputs!$D$29*Inputs!$D$28*Inputs!$D$22/($A27-Inputs!$D$28*(1-Inputs!$D$29))*(1-((1+Inputs!$D$28*(1-Inputs!$D$29))/(1+$A27))^Inputs!$D$26)+Inputs!$D$22*(1+Inputs!$D$28*(1-Inputs!$D$29))^Inputs!$D$26*(Inputs!$D$30-C$25)/($A27-C$25)/(1+$A27)^Inputs!$D$26,"")</f>
        <v>654.808012794979</v>
      </c>
      <c r="D27" s="12">
        <f>IF(D$25&lt;$A27,Inputs!$D$29*Inputs!$D$28*Inputs!$D$22/($A27-Inputs!$D$28*(1-Inputs!$D$29))*(1-((1+Inputs!$D$28*(1-Inputs!$D$29))/(1+$A27))^Inputs!$D$26)+Inputs!$D$22*(1+Inputs!$D$28*(1-Inputs!$D$29))^Inputs!$D$26*(Inputs!$D$30-D$25)/($A27-D$25)/(1+$A27)^Inputs!$D$26,"")</f>
        <v>659.0927546427</v>
      </c>
      <c r="E27" s="12">
        <f>IF(E$25&lt;$A27,Inputs!$D$29*Inputs!$D$28*Inputs!$D$22/($A27-Inputs!$D$28*(1-Inputs!$D$29))*(1-((1+Inputs!$D$28*(1-Inputs!$D$29))/(1+$A27))^Inputs!$D$26)+Inputs!$D$22*(1+Inputs!$D$28*(1-Inputs!$D$29))^Inputs!$D$26*(Inputs!$D$30-E$25)/($A27-E$25)/(1+$A27)^Inputs!$D$26,"")</f>
        <v>663.900805075657</v>
      </c>
      <c r="F27" s="12">
        <f>IF(F$25&lt;$A27,Inputs!$D$29*Inputs!$D$28*Inputs!$D$22/($A27-Inputs!$D$28*(1-Inputs!$D$29))*(1-((1+Inputs!$D$28*(1-Inputs!$D$29))/(1+$A27))^Inputs!$D$26)+Inputs!$D$22*(1+Inputs!$D$28*(1-Inputs!$D$29))^Inputs!$D$26*(Inputs!$D$30-F$25)/($A27-F$25)/(1+$A27)^Inputs!$D$26,"")</f>
        <v>669.334269207756</v>
      </c>
    </row>
    <row r="28" spans="1:6">
      <c r="A28" s="11">
        <f>Inputs!$D$15+(0)</f>
        <v>0.14687792</v>
      </c>
      <c r="B28" s="12">
        <f>IF(B$25&lt;$A28,Inputs!$D$29*Inputs!$D$28*Inputs!$D$22/($A28-Inputs!$D$28*(1-Inputs!$D$29))*(1-((1+Inputs!$D$28*(1-Inputs!$D$29))/(1+$A28))^Inputs!$D$26)+Inputs!$D$22*(1+Inputs!$D$28*(1-Inputs!$D$29))^Inputs!$D$26*(Inputs!$D$30-B$25)/($A28-B$25)/(1+$A28)^Inputs!$D$26,"")</f>
        <v>571.074708373257</v>
      </c>
      <c r="C28" s="12">
        <f>IF(C$25&lt;$A28,Inputs!$D$29*Inputs!$D$28*Inputs!$D$22/($A28-Inputs!$D$28*(1-Inputs!$D$29))*(1-((1+Inputs!$D$28*(1-Inputs!$D$29))/(1+$A28))^Inputs!$D$26)+Inputs!$D$22*(1+Inputs!$D$28*(1-Inputs!$D$29))^Inputs!$D$26*(Inputs!$D$30-C$25)/($A28-C$25)/(1+$A28)^Inputs!$D$26,"")</f>
        <v>571.790030591826</v>
      </c>
      <c r="D28" s="12">
        <f>IF(D$25&lt;$A28,Inputs!$D$29*Inputs!$D$28*Inputs!$D$22/($A28-Inputs!$D$28*(1-Inputs!$D$29))*(1-((1+Inputs!$D$28*(1-Inputs!$D$29))/(1+$A28))^Inputs!$D$26)+Inputs!$D$22*(1+Inputs!$D$28*(1-Inputs!$D$29))^Inputs!$D$26*(Inputs!$D$30-D$25)/($A28-D$25)/(1+$A28)^Inputs!$D$26,"")</f>
        <v>572.579190297674</v>
      </c>
      <c r="E28" s="13">
        <f>IF(E$25&lt;$A28,Inputs!$D$29*Inputs!$D$28*Inputs!$D$22/($A28-Inputs!$D$28*(1-Inputs!$D$29))*(1-((1+Inputs!$D$28*(1-Inputs!$D$29))/(1+$A28))^Inputs!$D$26)+Inputs!$D$22*(1+Inputs!$D$28*(1-Inputs!$D$29))^Inputs!$D$26*(Inputs!$D$30-E$25)/($A28-E$25)/(1+$A28)^Inputs!$D$26,"")</f>
        <v>573.454242207639</v>
      </c>
      <c r="F28" s="12">
        <f>IF(F$25&lt;$A28,Inputs!$D$29*Inputs!$D$28*Inputs!$D$22/($A28-Inputs!$D$28*(1-Inputs!$D$29))*(1-((1+Inputs!$D$28*(1-Inputs!$D$29))/(1+$A28))^Inputs!$D$26)+Inputs!$D$22*(1+Inputs!$D$28*(1-Inputs!$D$29))^Inputs!$D$26*(Inputs!$D$30-F$25)/($A28-F$25)/(1+$A28)^Inputs!$D$26,"")</f>
        <v>574.430016131893</v>
      </c>
    </row>
    <row r="29" spans="1:6">
      <c r="A29" s="11">
        <f>Inputs!$D$15+(0.01)</f>
        <v>0.15687792</v>
      </c>
      <c r="B29" s="12">
        <f>IF(B$25&lt;$A29,Inputs!$D$29*Inputs!$D$28*Inputs!$D$22/($A29-Inputs!$D$28*(1-Inputs!$D$29))*(1-((1+Inputs!$D$28*(1-Inputs!$D$29))/(1+$A29))^Inputs!$D$26)+Inputs!$D$22*(1+Inputs!$D$28*(1-Inputs!$D$29))^Inputs!$D$26*(Inputs!$D$30-B$25)/($A29-B$25)/(1+$A29)^Inputs!$D$26,"")</f>
        <v>505.725696131593</v>
      </c>
      <c r="C29" s="12">
        <f>IF(C$25&lt;$A29,Inputs!$D$29*Inputs!$D$28*Inputs!$D$22/($A29-Inputs!$D$28*(1-Inputs!$D$29))*(1-((1+Inputs!$D$28*(1-Inputs!$D$29))/(1+$A29))^Inputs!$D$26)+Inputs!$D$22*(1+Inputs!$D$28*(1-Inputs!$D$29))^Inputs!$D$26*(Inputs!$D$30-C$25)/($A29-C$25)/(1+$A29)^Inputs!$D$26,"")</f>
        <v>504.469219806817</v>
      </c>
      <c r="D29" s="12">
        <f>IF(D$25&lt;$A29,Inputs!$D$29*Inputs!$D$28*Inputs!$D$22/($A29-Inputs!$D$28*(1-Inputs!$D$29))*(1-((1+Inputs!$D$28*(1-Inputs!$D$29))/(1+$A29))^Inputs!$D$26)+Inputs!$D$22*(1+Inputs!$D$28*(1-Inputs!$D$29))^Inputs!$D$26*(Inputs!$D$30-D$25)/($A29-D$25)/(1+$A29)^Inputs!$D$26,"")</f>
        <v>503.095181657787</v>
      </c>
      <c r="E29" s="12">
        <f>IF(E$25&lt;$A29,Inputs!$D$29*Inputs!$D$28*Inputs!$D$22/($A29-Inputs!$D$28*(1-Inputs!$D$29))*(1-((1+Inputs!$D$28*(1-Inputs!$D$29))/(1+$A29))^Inputs!$D$26)+Inputs!$D$22*(1+Inputs!$D$28*(1-Inputs!$D$29))^Inputs!$D$26*(Inputs!$D$30-E$25)/($A29-E$25)/(1+$A29)^Inputs!$D$26,"")</f>
        <v>501.586272464174</v>
      </c>
      <c r="F29" s="12">
        <f>IF(F$25&lt;$A29,Inputs!$D$29*Inputs!$D$28*Inputs!$D$22/($A29-Inputs!$D$28*(1-Inputs!$D$29))*(1-((1+Inputs!$D$28*(1-Inputs!$D$29))/(1+$A29))^Inputs!$D$26)+Inputs!$D$22*(1+Inputs!$D$28*(1-Inputs!$D$29))^Inputs!$D$26*(Inputs!$D$30-F$25)/($A29-F$25)/(1+$A29)^Inputs!$D$26,"")</f>
        <v>499.921609596906</v>
      </c>
    </row>
    <row r="30" spans="1:6">
      <c r="A30" s="11">
        <f>Inputs!$D$15+(0.02)</f>
        <v>0.16687792</v>
      </c>
      <c r="B30" s="12">
        <f>IF(B$25&lt;$A30,Inputs!$D$29*Inputs!$D$28*Inputs!$D$22/($A30-Inputs!$D$28*(1-Inputs!$D$29))*(1-((1+Inputs!$D$28*(1-Inputs!$D$29))/(1+$A30))^Inputs!$D$26)+Inputs!$D$22*(1+Inputs!$D$28*(1-Inputs!$D$29))^Inputs!$D$26*(Inputs!$D$30-B$25)/($A30-B$25)/(1+$A30)^Inputs!$D$26,"")</f>
        <v>451.433197052034</v>
      </c>
      <c r="C30" s="12">
        <f>IF(C$25&lt;$A30,Inputs!$D$29*Inputs!$D$28*Inputs!$D$22/($A30-Inputs!$D$28*(1-Inputs!$D$29))*(1-((1+Inputs!$D$28*(1-Inputs!$D$29))/(1+$A30))^Inputs!$D$26)+Inputs!$D$22*(1+Inputs!$D$28*(1-Inputs!$D$29))^Inputs!$D$26*(Inputs!$D$30-C$25)/($A30-C$25)/(1+$A30)^Inputs!$D$26,"")</f>
        <v>448.935772147433</v>
      </c>
      <c r="D30" s="12">
        <f>IF(D$25&lt;$A30,Inputs!$D$29*Inputs!$D$28*Inputs!$D$22/($A30-Inputs!$D$28*(1-Inputs!$D$29))*(1-((1+Inputs!$D$28*(1-Inputs!$D$29))/(1+$A30))^Inputs!$D$26)+Inputs!$D$22*(1+Inputs!$D$28*(1-Inputs!$D$29))^Inputs!$D$26*(Inputs!$D$30-D$25)/($A30-D$25)/(1+$A30)^Inputs!$D$26,"")</f>
        <v>446.224669167059</v>
      </c>
      <c r="E30" s="12">
        <f>IF(E$25&lt;$A30,Inputs!$D$29*Inputs!$D$28*Inputs!$D$22/($A30-Inputs!$D$28*(1-Inputs!$D$29))*(1-((1+Inputs!$D$28*(1-Inputs!$D$29))/(1+$A30))^Inputs!$D$26)+Inputs!$D$22*(1+Inputs!$D$28*(1-Inputs!$D$29))^Inputs!$D$26*(Inputs!$D$30-E$25)/($A30-E$25)/(1+$A30)^Inputs!$D$26,"")</f>
        <v>443.271239284256</v>
      </c>
      <c r="F30" s="12">
        <f>IF(F$25&lt;$A30,Inputs!$D$29*Inputs!$D$28*Inputs!$D$22/($A30-Inputs!$D$28*(1-Inputs!$D$29))*(1-((1+Inputs!$D$28*(1-Inputs!$D$29))/(1+$A30))^Inputs!$D$26)+Inputs!$D$22*(1+Inputs!$D$28*(1-Inputs!$D$29))^Inputs!$D$26*(Inputs!$D$30-F$25)/($A30-F$25)/(1+$A30)^Inputs!$D$26,"")</f>
        <v>440.041472634906</v>
      </c>
    </row>
    <row r="31" spans="1:6">
      <c r="A31" s="7" t="s">
        <v>94</v>
      </c>
      <c r="B31" s="3">
        <f>Inputs!D13</f>
        <v>1310.6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3"/>
  <cols>
    <col min="1" max="1" width="16" customWidth="1"/>
    <col min="2" max="2" width="20" customWidth="1"/>
    <col min="3" max="3" width="30" customWidth="1"/>
    <col min="4" max="4" width="12" customWidth="1"/>
    <col min="5" max="6" width="14" customWidth="1"/>
    <col min="7" max="10" width="13" customWidth="1"/>
    <col min="11" max="11" width="14" customWidth="1"/>
    <col min="12" max="12" width="20" customWidth="1"/>
    <col min="13" max="13" width="14" customWidth="1"/>
  </cols>
  <sheetData>
    <row r="1" ht="26.25" spans="1:13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</row>
    <row r="2" spans="1:13">
      <c r="A2" s="2" t="str">
        <f>Inputs!B11</f>
        <v>HINDUNILVR.NS</v>
      </c>
      <c r="B2" s="2" t="str">
        <f>Inputs!B10</f>
        <v>Hindustan Unilever</v>
      </c>
      <c r="C2" s="2" t="str">
        <f>Inputs!B12</f>
        <v>Two-stage DDM</v>
      </c>
      <c r="D2" s="3">
        <f>Inputs!B13</f>
        <v>1836</v>
      </c>
      <c r="E2" s="4">
        <f>Inputs!B15</f>
        <v>0.09770732</v>
      </c>
      <c r="F2" s="3">
        <f>DDM!B29</f>
        <v>1081.28153177762</v>
      </c>
      <c r="G2" s="5">
        <f>F2/D2-1</f>
        <v>-0.411066703824826</v>
      </c>
      <c r="H2" s="3">
        <f>Comps!B11</f>
        <v>2075.47826086957</v>
      </c>
      <c r="I2" s="5">
        <f>H2/D2-1</f>
        <v>0.130434782608696</v>
      </c>
      <c r="J2" s="6">
        <f>AVERAGE(F2,H2)</f>
        <v>1578.37989632359</v>
      </c>
      <c r="K2" s="5">
        <f>J2/D2-1</f>
        <v>-0.140315960608065</v>
      </c>
      <c r="L2" s="4">
        <f>DDM!B33</f>
        <v>0.0737296960681939</v>
      </c>
      <c r="M2" s="7" t="str">
        <f>IF(K2&gt;Inputs!$B$7,"Undervalued",IF(K2&lt;-Inputs!$B$7,"Overvalued","Fairly valued"))</f>
        <v>Fairly valued</v>
      </c>
    </row>
    <row r="3" spans="1:13">
      <c r="A3" s="2" t="str">
        <f>Inputs!C11</f>
        <v>INFY.NS</v>
      </c>
      <c r="B3" s="2" t="str">
        <f>Inputs!C10</f>
        <v>Infosys</v>
      </c>
      <c r="C3" s="2" t="str">
        <f>Inputs!C12</f>
        <v>Two-stage DDM</v>
      </c>
      <c r="D3" s="3">
        <f>Inputs!C13</f>
        <v>1035</v>
      </c>
      <c r="E3" s="4">
        <f>Inputs!C15</f>
        <v>0.11333288</v>
      </c>
      <c r="F3" s="3">
        <f>DDM!C29</f>
        <v>965.00155464548</v>
      </c>
      <c r="G3" s="5">
        <f>F3/D3-1</f>
        <v>-0.0676313481686179</v>
      </c>
      <c r="H3" s="3">
        <f>Comps!B20</f>
        <v>1073.33333333333</v>
      </c>
      <c r="I3" s="5">
        <f>H3/D3-1</f>
        <v>0.0370370370370372</v>
      </c>
      <c r="J3" s="6">
        <f>AVERAGE(F3,H3)</f>
        <v>1019.16744398941</v>
      </c>
      <c r="K3" s="5">
        <f>J3/D3-1</f>
        <v>-0.0152971555657904</v>
      </c>
      <c r="L3" s="4">
        <f>DDM!C33</f>
        <v>0.0639884864265928</v>
      </c>
      <c r="M3" s="7" t="str">
        <f>IF(K3&gt;Inputs!$B$7,"Undervalued",IF(K3&lt;-Inputs!$B$7,"Overvalued","Fairly valued"))</f>
        <v>Fairly valued</v>
      </c>
    </row>
    <row r="4" spans="1:13">
      <c r="A4" s="2" t="str">
        <f>Inputs!D11</f>
        <v>ICICIBANK.NS</v>
      </c>
      <c r="B4" s="2" t="str">
        <f>Inputs!D10</f>
        <v>ICICI Bank</v>
      </c>
      <c r="C4" s="2" t="str">
        <f>Inputs!D12</f>
        <v>Two-stage P/B (residual income)</v>
      </c>
      <c r="D4" s="3">
        <f>Inputs!D13</f>
        <v>1310.6</v>
      </c>
      <c r="E4" s="4">
        <f>Inputs!D15</f>
        <v>0.14687792</v>
      </c>
      <c r="F4" s="3">
        <f>Bank!B32</f>
        <v>573.454242207638</v>
      </c>
      <c r="G4" s="5">
        <f>F4/D4-1</f>
        <v>-0.562449075074288</v>
      </c>
      <c r="H4" s="3">
        <f>Comps!B31</f>
        <v>1139.04134615385</v>
      </c>
      <c r="I4" s="5">
        <f>H4/D4-1</f>
        <v>-0.130900849874984</v>
      </c>
      <c r="J4" s="6">
        <f>AVERAGE(F4,H4)</f>
        <v>856.247794180742</v>
      </c>
      <c r="K4" s="5">
        <f>J4/D4-1</f>
        <v>-0.346674962474636</v>
      </c>
      <c r="L4" s="4">
        <f>Bank!B37</f>
        <v>0.138725372577846</v>
      </c>
      <c r="M4" s="7" t="str">
        <f>IF(K4&gt;Inputs!$B$7,"Undervalued",IF(K4&lt;-Inputs!$B$7,"Overvalued","Fairly valued"))</f>
        <v>Overvalued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Inputs</vt:lpstr>
      <vt:lpstr>DDM</vt:lpstr>
      <vt:lpstr>Bank</vt:lpstr>
      <vt:lpstr>Comps</vt:lpstr>
      <vt:lpstr>Sensitivity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</cp:lastModifiedBy>
  <dcterms:created xsi:type="dcterms:W3CDTF">2026-10-02T10:41:00Z</dcterms:created>
  <dcterms:modified xsi:type="dcterms:W3CDTF">2026-10-02T10:41:12Z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972DEFEBCE764F9F8379E74B7C38CC3E_12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